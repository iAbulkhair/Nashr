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P&amp;L" sheetId="5" state="visible" r:id="rId5"/>
    <sheet xmlns:r="http://schemas.openxmlformats.org/officeDocument/2006/relationships" name="Cash" sheetId="6" state="visible" r:id="rId6"/>
    <sheet xmlns:r="http://schemas.openxmlformats.org/officeDocument/2006/relationships" name="Unit Econom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0F3D3A"/>
      <sz val="14"/>
    </font>
    <font>
      <i val="1"/>
      <color rgb="00666666"/>
    </font>
    <font>
      <b val="1"/>
      <color rgb="000F3D3A"/>
      <sz val="12"/>
    </font>
    <font>
      <b val="1"/>
      <color rgb="00FFFFFF"/>
    </font>
    <font>
      <b val="1"/>
    </font>
    <font/>
    <font>
      <b val="1"/>
      <color rgb="000F3D3A"/>
      <sz val="13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0F3D3A"/>
      </patternFill>
    </fill>
    <fill>
      <patternFill patternType="solid">
        <fgColor rgb="00E8F0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3" fontId="0" fillId="2" borderId="1" pivotButton="0" quotePrefix="0" xfId="0"/>
    <xf numFmtId="1" fontId="0" fillId="2" borderId="1" pivotButton="0" quotePrefix="0" xfId="0"/>
    <xf numFmtId="0" fontId="0" fillId="2" borderId="1" pivotButton="0" quotePrefix="0" xfId="0"/>
    <xf numFmtId="164" fontId="5" fillId="0" borderId="0" pivotButton="0" quotePrefix="0" xfId="0"/>
    <xf numFmtId="3" fontId="5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0" fontId="7" fillId="0" borderId="0" pivotButton="0" quotePrefix="0" xfId="0"/>
    <xf numFmtId="165" fontId="5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Nashr — Financial Summary (SAR)</t>
        </is>
      </c>
    </row>
    <row r="2">
      <c r="A2" s="2" t="inlineStr">
        <is>
          <t>36-month model. Change inputs on the Assumptions sheet; all sheets recalculate.</t>
        </is>
      </c>
    </row>
    <row r="4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</row>
    <row r="5">
      <c r="A5" s="4" t="inlineStr">
        <is>
          <t>Revenue</t>
        </is>
      </c>
      <c r="B5" s="5">
        <f>'P&amp;L'!AL7</f>
        <v/>
      </c>
      <c r="C5" s="5">
        <f>'P&amp;L'!AM7</f>
        <v/>
      </c>
      <c r="D5" s="5">
        <f>'P&amp;L'!AN7</f>
        <v/>
      </c>
    </row>
    <row r="6">
      <c r="A6" s="6" t="inlineStr">
        <is>
          <t>Gross profit</t>
        </is>
      </c>
      <c r="B6" s="5">
        <f>'P&amp;L'!AL15</f>
        <v/>
      </c>
      <c r="C6" s="5">
        <f>'P&amp;L'!AM15</f>
        <v/>
      </c>
      <c r="D6" s="5">
        <f>'P&amp;L'!AN15</f>
        <v/>
      </c>
    </row>
    <row r="7">
      <c r="A7" s="6" t="inlineStr">
        <is>
          <t>Gross margin</t>
        </is>
      </c>
      <c r="B7" s="7">
        <f>'P&amp;L'!AL16</f>
        <v/>
      </c>
      <c r="C7" s="7">
        <f>'P&amp;L'!AM16</f>
        <v/>
      </c>
      <c r="D7" s="7">
        <f>'P&amp;L'!AN16</f>
        <v/>
      </c>
    </row>
    <row r="8">
      <c r="A8" s="6" t="inlineStr">
        <is>
          <t>Total opex</t>
        </is>
      </c>
      <c r="B8" s="5">
        <f>'P&amp;L'!AL24</f>
        <v/>
      </c>
      <c r="C8" s="5">
        <f>'P&amp;L'!AM24</f>
        <v/>
      </c>
      <c r="D8" s="5">
        <f>'P&amp;L'!AN24</f>
        <v/>
      </c>
    </row>
    <row r="9">
      <c r="A9" s="4" t="inlineStr">
        <is>
          <t>EBITDA</t>
        </is>
      </c>
      <c r="B9" s="5">
        <f>'P&amp;L'!AL25</f>
        <v/>
      </c>
      <c r="C9" s="5">
        <f>'P&amp;L'!AM25</f>
        <v/>
      </c>
      <c r="D9" s="5">
        <f>'P&amp;L'!AN25</f>
        <v/>
      </c>
    </row>
    <row r="10">
      <c r="A10" s="6" t="inlineStr">
        <is>
          <t>EBITDA margin</t>
        </is>
      </c>
      <c r="B10" s="7">
        <f>'P&amp;L'!AL26</f>
        <v/>
      </c>
      <c r="C10" s="7">
        <f>'P&amp;L'!AM26</f>
        <v/>
      </c>
      <c r="D10" s="7">
        <f>'P&amp;L'!AN26</f>
        <v/>
      </c>
    </row>
    <row r="11">
      <c r="A11" s="6" t="inlineStr">
        <is>
          <t>Ending MRR</t>
        </is>
      </c>
      <c r="B11" s="5">
        <f>'P&amp;L'!AL28</f>
        <v/>
      </c>
      <c r="C11" s="5">
        <f>'P&amp;L'!AM28</f>
        <v/>
      </c>
      <c r="D11" s="5">
        <f>'P&amp;L'!AN28</f>
        <v/>
      </c>
    </row>
    <row r="12">
      <c r="A12" s="4" t="inlineStr">
        <is>
          <t>Ending ARR run-rate</t>
        </is>
      </c>
      <c r="B12" s="5">
        <f>'P&amp;L'!AL29</f>
        <v/>
      </c>
      <c r="C12" s="5">
        <f>'P&amp;L'!AM29</f>
        <v/>
      </c>
      <c r="D12" s="5">
        <f>'P&amp;L'!AN29</f>
        <v/>
      </c>
    </row>
    <row r="13">
      <c r="A13" t="inlineStr">
        <is>
          <t>Ending paying brands</t>
        </is>
      </c>
      <c r="B13" s="8">
        <f>Customers!M6</f>
        <v/>
      </c>
      <c r="C13" s="8">
        <f>Customers!Y6</f>
        <v/>
      </c>
      <c r="D13" s="8">
        <f>Customers!AK6</f>
        <v/>
      </c>
    </row>
    <row r="14">
      <c r="A14" t="inlineStr">
        <is>
          <t>Ending headcount</t>
        </is>
      </c>
      <c r="B14" s="8">
        <f>Headcount!N9</f>
        <v/>
      </c>
      <c r="C14" s="8">
        <f>Headcount!Z9</f>
        <v/>
      </c>
      <c r="D14" s="8">
        <f>Headcount!AL9</f>
        <v/>
      </c>
    </row>
    <row r="15">
      <c r="A15" t="inlineStr">
        <is>
          <t>Ending cash</t>
        </is>
      </c>
      <c r="B15" s="5">
        <f>Cash!M5</f>
        <v/>
      </c>
      <c r="C15" s="5">
        <f>Cash!Y5</f>
        <v/>
      </c>
      <c r="D15" s="5">
        <f>Cash!AK5</f>
        <v/>
      </c>
    </row>
    <row r="17">
      <c r="A17" s="4" t="inlineStr">
        <is>
          <t>Blended LTV:CAC</t>
        </is>
      </c>
      <c r="B17" s="9">
        <f>'Unit Economics'!B25</f>
        <v/>
      </c>
    </row>
    <row r="18">
      <c r="A18" s="4" t="inlineStr">
        <is>
          <t>Blended CAC payback (months)</t>
        </is>
      </c>
      <c r="B18" s="9">
        <f>'Unit Economics'!B26</f>
        <v/>
      </c>
    </row>
    <row r="19">
      <c r="A19" s="4" t="inlineStr">
        <is>
          <t>Minimum cash balance (36m)</t>
        </is>
      </c>
      <c r="B19" s="5">
        <f>Cash!B8</f>
        <v/>
      </c>
    </row>
    <row r="20">
      <c r="A20" s="4" t="inlineStr">
        <is>
          <t>Seed raise</t>
        </is>
      </c>
      <c r="B20" s="5">
        <f>Assumptions!$B$57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60" customWidth="1" min="3" max="3"/>
  </cols>
  <sheetData>
    <row r="1">
      <c r="A1" s="1" t="inlineStr">
        <is>
          <t>Nashr — Model Assumptions (SAR)</t>
        </is>
      </c>
    </row>
    <row r="2">
      <c r="A2" s="2" t="inlineStr">
        <is>
          <t>Yellow cells are inputs. Everything else is formula-driven.</t>
        </is>
      </c>
    </row>
    <row r="5">
      <c r="A5" s="10" t="inlineStr">
        <is>
          <t>Pricing (monthly, SAR, ex-VAT)</t>
        </is>
      </c>
    </row>
    <row r="6">
      <c r="A6" t="inlineStr">
        <is>
          <t>Starter price</t>
        </is>
      </c>
      <c r="B6" s="11" t="n">
        <v>149</v>
      </c>
      <c r="C6" s="2" t="inlineStr"/>
    </row>
    <row r="7">
      <c r="A7" t="inlineStr">
        <is>
          <t>Pro price</t>
        </is>
      </c>
      <c r="B7" s="11" t="n">
        <v>399</v>
      </c>
      <c r="C7" s="2" t="inlineStr"/>
    </row>
    <row r="8">
      <c r="A8" t="inlineStr">
        <is>
          <t>Agency price</t>
        </is>
      </c>
      <c r="B8" s="11" t="n">
        <v>799</v>
      </c>
      <c r="C8" s="2" t="inlineStr"/>
    </row>
    <row r="9">
      <c r="A9" t="inlineStr">
        <is>
          <t>Enterprise avg contract / month</t>
        </is>
      </c>
      <c r="B9" s="11" t="n">
        <v>4500</v>
      </c>
      <c r="C9" s="2" t="inlineStr">
        <is>
          <t>Custom deals; blended average</t>
        </is>
      </c>
    </row>
    <row r="10">
      <c r="A10" t="inlineStr">
        <is>
          <t>Annual plan discount (2 months free)</t>
        </is>
      </c>
      <c r="B10" s="12" t="n">
        <v>0.1666666666666667</v>
      </c>
      <c r="C10" s="2" t="inlineStr"/>
    </row>
    <row r="11">
      <c r="A11" t="inlineStr">
        <is>
          <t>Share of customers on annual</t>
        </is>
      </c>
      <c r="B11" s="12" t="n">
        <v>0.3</v>
      </c>
      <c r="C11" s="2" t="inlineStr"/>
    </row>
    <row r="12">
      <c r="A12" t="inlineStr">
        <is>
          <t>Top-up revenue as % of subscription</t>
        </is>
      </c>
      <c r="B12" s="12" t="n">
        <v>0.12</v>
      </c>
      <c r="C12" s="2" t="inlineStr">
        <is>
          <t>Credit top-ups + extra seats/brands</t>
        </is>
      </c>
    </row>
    <row r="14">
      <c r="A14" s="10" t="inlineStr">
        <is>
          <t>Plan mix of paying customers</t>
        </is>
      </c>
    </row>
    <row r="15">
      <c r="A15" t="inlineStr">
        <is>
          <t>Starter</t>
        </is>
      </c>
      <c r="B15" s="12" t="n">
        <v>0.45</v>
      </c>
      <c r="C15" s="2" t="inlineStr"/>
    </row>
    <row r="16">
      <c r="A16" t="inlineStr">
        <is>
          <t>Pro</t>
        </is>
      </c>
      <c r="B16" s="12" t="n">
        <v>0.4</v>
      </c>
      <c r="C16" s="2" t="inlineStr"/>
    </row>
    <row r="17">
      <c r="A17" t="inlineStr">
        <is>
          <t>Agency</t>
        </is>
      </c>
      <c r="B17" s="12" t="n">
        <v>0.13</v>
      </c>
      <c r="C17" s="2" t="inlineStr"/>
    </row>
    <row r="18">
      <c r="A18" t="inlineStr">
        <is>
          <t>Enterprise</t>
        </is>
      </c>
      <c r="B18" s="12" t="n">
        <v>0.02</v>
      </c>
      <c r="C18" s="2" t="inlineStr"/>
    </row>
    <row r="20">
      <c r="A20" s="10" t="inlineStr">
        <is>
          <t>Acquisition</t>
        </is>
      </c>
    </row>
    <row r="21">
      <c r="A21" t="inlineStr">
        <is>
          <t>Trials in month 1</t>
        </is>
      </c>
      <c r="B21" s="13" t="n">
        <v>180</v>
      </c>
      <c r="C21" s="2" t="inlineStr">
        <is>
          <t>Waitlist + design partners</t>
        </is>
      </c>
    </row>
    <row r="22">
      <c r="A22" t="inlineStr">
        <is>
          <t>Monthly trial growth, year 1</t>
        </is>
      </c>
      <c r="B22" s="12" t="n">
        <v>0.24</v>
      </c>
      <c r="C22" s="2" t="inlineStr"/>
    </row>
    <row r="23">
      <c r="A23" t="inlineStr">
        <is>
          <t>Monthly trial growth, year 2</t>
        </is>
      </c>
      <c r="B23" s="12" t="n">
        <v>0.09</v>
      </c>
      <c r="C23" s="2" t="inlineStr"/>
    </row>
    <row r="24">
      <c r="A24" t="inlineStr">
        <is>
          <t>Monthly trial growth, year 3</t>
        </is>
      </c>
      <c r="B24" s="12" t="n">
        <v>0.03</v>
      </c>
      <c r="C24" s="2" t="inlineStr"/>
    </row>
    <row r="25">
      <c r="A25" t="inlineStr">
        <is>
          <t>Trial → paid conversion</t>
        </is>
      </c>
      <c r="B25" s="12" t="n">
        <v>0.12</v>
      </c>
      <c r="C25" s="2" t="inlineStr"/>
    </row>
    <row r="26">
      <c r="A26" t="inlineStr">
        <is>
          <t>Monthly logo churn</t>
        </is>
      </c>
      <c r="B26" s="12" t="n">
        <v>0.04</v>
      </c>
      <c r="C26" s="2" t="inlineStr">
        <is>
          <t>Target &lt;4%; SMB SaaS median 3–6%</t>
        </is>
      </c>
    </row>
    <row r="27">
      <c r="A27" t="inlineStr">
        <is>
          <t>Blended CAC per paying customer</t>
        </is>
      </c>
      <c r="B27" s="11" t="n">
        <v>650</v>
      </c>
      <c r="C27" s="2" t="inlineStr">
        <is>
          <t>Salla/Zid app store, content, paid, agency rev-share</t>
        </is>
      </c>
    </row>
    <row r="29">
      <c r="A29" s="10" t="inlineStr">
        <is>
          <t>Cost of revenue (per paying brand per month)</t>
        </is>
      </c>
    </row>
    <row r="30">
      <c r="A30" t="inlineStr">
        <is>
          <t>AI/model + media cost — Starter</t>
        </is>
      </c>
      <c r="B30" s="11" t="n">
        <v>22</v>
      </c>
      <c r="C30" s="2" t="inlineStr">
        <is>
          <t>200 credits × ~0.11 SAR</t>
        </is>
      </c>
    </row>
    <row r="31">
      <c r="A31" t="inlineStr">
        <is>
          <t>AI/model + media cost — Pro</t>
        </is>
      </c>
      <c r="B31" s="11" t="n">
        <v>70</v>
      </c>
      <c r="C31" s="2" t="inlineStr">
        <is>
          <t>700 credits × ~0.10 SAR</t>
        </is>
      </c>
    </row>
    <row r="32">
      <c r="A32" t="inlineStr">
        <is>
          <t>AI/model + media cost — Agency</t>
        </is>
      </c>
      <c r="B32" s="11" t="n">
        <v>190</v>
      </c>
      <c r="C32" s="2" t="inlineStr">
        <is>
          <t>2,000 credits × ~0.095 SAR</t>
        </is>
      </c>
    </row>
    <row r="33">
      <c r="A33" t="inlineStr">
        <is>
          <t>AI/model + media cost — Enterprise</t>
        </is>
      </c>
      <c r="B33" s="11" t="n">
        <v>900</v>
      </c>
      <c r="C33" s="2" t="inlineStr"/>
    </row>
    <row r="34">
      <c r="A34" t="inlineStr">
        <is>
          <t>Hosting/infra per brand (KSA region)</t>
        </is>
      </c>
      <c r="B34" s="11" t="n">
        <v>6</v>
      </c>
      <c r="C34" s="2" t="inlineStr"/>
    </row>
    <row r="35">
      <c r="A35" t="inlineStr">
        <is>
          <t>WhatsApp/SMS pass-through per brand</t>
        </is>
      </c>
      <c r="B35" s="11" t="n">
        <v>9</v>
      </c>
      <c r="C35" s="2" t="inlineStr">
        <is>
          <t>Cloud API conversation fees, avg</t>
        </is>
      </c>
    </row>
    <row r="36">
      <c r="A36" t="inlineStr">
        <is>
          <t>Payment processing % of revenue</t>
        </is>
      </c>
      <c r="B36" s="12" t="n">
        <v>0.028</v>
      </c>
      <c r="C36" s="2" t="inlineStr">
        <is>
          <t>Tap/Moyasar mada+cards blend</t>
        </is>
      </c>
    </row>
    <row r="37">
      <c r="A37" t="inlineStr">
        <is>
          <t>Support/QA cost per brand</t>
        </is>
      </c>
      <c r="B37" s="11" t="n">
        <v>8</v>
      </c>
      <c r="C37" s="2" t="inlineStr">
        <is>
          <t>Arabic QA reviewers, tier-1 support</t>
        </is>
      </c>
    </row>
    <row r="39">
      <c r="A39" s="10" t="inlineStr">
        <is>
          <t>Operating expenses</t>
        </is>
      </c>
    </row>
    <row r="40">
      <c r="A40" t="inlineStr">
        <is>
          <t>Software &amp; tools / month</t>
        </is>
      </c>
      <c r="B40" s="11" t="n">
        <v>9000</v>
      </c>
      <c r="C40" s="2" t="inlineStr"/>
    </row>
    <row r="41">
      <c r="A41" t="inlineStr">
        <is>
          <t>Office &amp; admin / month</t>
        </is>
      </c>
      <c r="B41" s="11" t="n">
        <v>12000</v>
      </c>
      <c r="C41" s="2" t="inlineStr"/>
    </row>
    <row r="42">
      <c r="A42" t="inlineStr">
        <is>
          <t>Legal, accounting, compliance / month</t>
        </is>
      </c>
      <c r="B42" s="11" t="n">
        <v>7000</v>
      </c>
      <c r="C42" s="2" t="inlineStr"/>
    </row>
    <row r="43">
      <c r="A43" t="inlineStr">
        <is>
          <t>Marketing base (content, events) / month</t>
        </is>
      </c>
      <c r="B43" s="11" t="n">
        <v>15000</v>
      </c>
      <c r="C43" s="2" t="inlineStr">
        <is>
          <t>Excludes CAC-driven spend (new paying × CAC)</t>
        </is>
      </c>
    </row>
    <row r="44">
      <c r="A44" t="inlineStr">
        <is>
          <t>VAT (pass-through on collections; not in P&amp;L)</t>
        </is>
      </c>
      <c r="B44" s="12" t="n">
        <v>0.15</v>
      </c>
      <c r="C44" s="2" t="inlineStr"/>
    </row>
    <row r="46">
      <c r="A46" s="10" t="inlineStr">
        <is>
          <t>Headcount (SAR fully loaded per month)</t>
        </is>
      </c>
    </row>
    <row r="47">
      <c r="A47" t="inlineStr">
        <is>
          <t>Founder / CEO</t>
        </is>
      </c>
      <c r="B47" s="11" t="n">
        <v>25000</v>
      </c>
      <c r="C47" s="2" t="inlineStr"/>
    </row>
    <row r="48">
      <c r="A48" t="inlineStr">
        <is>
          <t>Engineer</t>
        </is>
      </c>
      <c r="B48" s="11" t="n">
        <v>30000</v>
      </c>
      <c r="C48" s="2" t="inlineStr"/>
    </row>
    <row r="49">
      <c r="A49" t="inlineStr">
        <is>
          <t>AI / prompt engineer</t>
        </is>
      </c>
      <c r="B49" s="11" t="n">
        <v>32000</v>
      </c>
      <c r="C49" s="2" t="inlineStr"/>
    </row>
    <row r="50">
      <c r="A50" t="inlineStr">
        <is>
          <t>Designer</t>
        </is>
      </c>
      <c r="B50" s="11" t="n">
        <v>18000</v>
      </c>
      <c r="C50" s="2" t="inlineStr"/>
    </row>
    <row r="51">
      <c r="A51" t="inlineStr">
        <is>
          <t>Growth / partnerships</t>
        </is>
      </c>
      <c r="B51" s="11" t="n">
        <v>22000</v>
      </c>
      <c r="C51" s="2" t="inlineStr"/>
    </row>
    <row r="52">
      <c r="A52" t="inlineStr">
        <is>
          <t>Customer success / Arabic QA</t>
        </is>
      </c>
      <c r="B52" s="11" t="n">
        <v>12000</v>
      </c>
      <c r="C52" s="2" t="inlineStr"/>
    </row>
    <row r="53">
      <c r="A53" t="inlineStr">
        <is>
          <t>Enterprise sales</t>
        </is>
      </c>
      <c r="B53" s="11" t="n">
        <v>24000</v>
      </c>
      <c r="C53" s="2" t="inlineStr"/>
    </row>
    <row r="55">
      <c r="A55" s="10" t="inlineStr">
        <is>
          <t>Funding</t>
        </is>
      </c>
    </row>
    <row r="56">
      <c r="A56" t="inlineStr">
        <is>
          <t>Opening cash</t>
        </is>
      </c>
      <c r="B56" s="11" t="n">
        <v>500000</v>
      </c>
      <c r="C56" s="2" t="inlineStr">
        <is>
          <t>Founder + angels</t>
        </is>
      </c>
    </row>
    <row r="57">
      <c r="A57" t="inlineStr">
        <is>
          <t>Seed raise</t>
        </is>
      </c>
      <c r="B57" s="11" t="n">
        <v>6000000</v>
      </c>
      <c r="C57" s="2" t="inlineStr">
        <is>
          <t>~USD 1.6M</t>
        </is>
      </c>
    </row>
    <row r="58">
      <c r="A58" t="inlineStr">
        <is>
          <t>Seed raise month (1–36)</t>
        </is>
      </c>
      <c r="B58" s="14" t="n">
        <v>3</v>
      </c>
      <c r="C5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Role</t>
        </is>
      </c>
      <c r="B1" s="3" t="inlineStr">
        <is>
          <t>Cost/mo</t>
        </is>
      </c>
      <c r="C1" s="3" t="inlineStr">
        <is>
          <t>Oct-26</t>
        </is>
      </c>
      <c r="D1" s="3" t="inlineStr">
        <is>
          <t>Nov-26</t>
        </is>
      </c>
      <c r="E1" s="3" t="inlineStr">
        <is>
          <t>Dec-26</t>
        </is>
      </c>
      <c r="F1" s="3" t="inlineStr">
        <is>
          <t>Jan-27</t>
        </is>
      </c>
      <c r="G1" s="3" t="inlineStr">
        <is>
          <t>Feb-27</t>
        </is>
      </c>
      <c r="H1" s="3" t="inlineStr">
        <is>
          <t>Mar-27</t>
        </is>
      </c>
      <c r="I1" s="3" t="inlineStr">
        <is>
          <t>Apr-27</t>
        </is>
      </c>
      <c r="J1" s="3" t="inlineStr">
        <is>
          <t>May-27</t>
        </is>
      </c>
      <c r="K1" s="3" t="inlineStr">
        <is>
          <t>Jun-27</t>
        </is>
      </c>
      <c r="L1" s="3" t="inlineStr">
        <is>
          <t>Jul-27</t>
        </is>
      </c>
      <c r="M1" s="3" t="inlineStr">
        <is>
          <t>Aug-27</t>
        </is>
      </c>
      <c r="N1" s="3" t="inlineStr">
        <is>
          <t>Sep-27</t>
        </is>
      </c>
      <c r="O1" s="3" t="inlineStr">
        <is>
          <t>Oct-27</t>
        </is>
      </c>
      <c r="P1" s="3" t="inlineStr">
        <is>
          <t>Nov-27</t>
        </is>
      </c>
      <c r="Q1" s="3" t="inlineStr">
        <is>
          <t>Dec-27</t>
        </is>
      </c>
      <c r="R1" s="3" t="inlineStr">
        <is>
          <t>Jan-28</t>
        </is>
      </c>
      <c r="S1" s="3" t="inlineStr">
        <is>
          <t>Feb-28</t>
        </is>
      </c>
      <c r="T1" s="3" t="inlineStr">
        <is>
          <t>Mar-28</t>
        </is>
      </c>
      <c r="U1" s="3" t="inlineStr">
        <is>
          <t>Apr-28</t>
        </is>
      </c>
      <c r="V1" s="3" t="inlineStr">
        <is>
          <t>May-28</t>
        </is>
      </c>
      <c r="W1" s="3" t="inlineStr">
        <is>
          <t>Jun-28</t>
        </is>
      </c>
      <c r="X1" s="3" t="inlineStr">
        <is>
          <t>Jul-28</t>
        </is>
      </c>
      <c r="Y1" s="3" t="inlineStr">
        <is>
          <t>Aug-28</t>
        </is>
      </c>
      <c r="Z1" s="3" t="inlineStr">
        <is>
          <t>Sep-28</t>
        </is>
      </c>
      <c r="AA1" s="3" t="inlineStr">
        <is>
          <t>Oct-28</t>
        </is>
      </c>
      <c r="AB1" s="3" t="inlineStr">
        <is>
          <t>Nov-28</t>
        </is>
      </c>
      <c r="AC1" s="3" t="inlineStr">
        <is>
          <t>Dec-28</t>
        </is>
      </c>
      <c r="AD1" s="3" t="inlineStr">
        <is>
          <t>Jan-29</t>
        </is>
      </c>
      <c r="AE1" s="3" t="inlineStr">
        <is>
          <t>Feb-29</t>
        </is>
      </c>
      <c r="AF1" s="3" t="inlineStr">
        <is>
          <t>Mar-29</t>
        </is>
      </c>
      <c r="AG1" s="3" t="inlineStr">
        <is>
          <t>Apr-29</t>
        </is>
      </c>
      <c r="AH1" s="3" t="inlineStr">
        <is>
          <t>May-29</t>
        </is>
      </c>
      <c r="AI1" s="3" t="inlineStr">
        <is>
          <t>Jun-29</t>
        </is>
      </c>
      <c r="AJ1" s="3" t="inlineStr">
        <is>
          <t>Jul-29</t>
        </is>
      </c>
      <c r="AK1" s="3" t="inlineStr">
        <is>
          <t>Aug-29</t>
        </is>
      </c>
      <c r="AL1" s="3" t="inlineStr">
        <is>
          <t>Sep-29</t>
        </is>
      </c>
    </row>
    <row r="2">
      <c r="A2" t="inlineStr">
        <is>
          <t>Founder / CEO</t>
        </is>
      </c>
      <c r="B2" s="5">
        <f>Assumptions!$B$47</f>
        <v/>
      </c>
      <c r="C2" s="15" t="n">
        <v>1</v>
      </c>
      <c r="D2" s="15" t="n">
        <v>1</v>
      </c>
      <c r="E2" s="15" t="n">
        <v>1</v>
      </c>
      <c r="F2" s="15" t="n">
        <v>1</v>
      </c>
      <c r="G2" s="15" t="n">
        <v>1</v>
      </c>
      <c r="H2" s="15" t="n">
        <v>1</v>
      </c>
      <c r="I2" s="15" t="n">
        <v>1</v>
      </c>
      <c r="J2" s="15" t="n">
        <v>1</v>
      </c>
      <c r="K2" s="15" t="n">
        <v>1</v>
      </c>
      <c r="L2" s="15" t="n">
        <v>1</v>
      </c>
      <c r="M2" s="15" t="n">
        <v>1</v>
      </c>
      <c r="N2" s="15" t="n">
        <v>1</v>
      </c>
      <c r="O2" s="15" t="n">
        <v>1</v>
      </c>
      <c r="P2" s="15" t="n">
        <v>1</v>
      </c>
      <c r="Q2" s="15" t="n">
        <v>1</v>
      </c>
      <c r="R2" s="15" t="n">
        <v>1</v>
      </c>
      <c r="S2" s="15" t="n">
        <v>1</v>
      </c>
      <c r="T2" s="15" t="n">
        <v>1</v>
      </c>
      <c r="U2" s="15" t="n">
        <v>1</v>
      </c>
      <c r="V2" s="15" t="n">
        <v>1</v>
      </c>
      <c r="W2" s="15" t="n">
        <v>1</v>
      </c>
      <c r="X2" s="15" t="n">
        <v>1</v>
      </c>
      <c r="Y2" s="15" t="n">
        <v>1</v>
      </c>
      <c r="Z2" s="15" t="n">
        <v>1</v>
      </c>
      <c r="AA2" s="15" t="n">
        <v>1</v>
      </c>
      <c r="AB2" s="15" t="n">
        <v>1</v>
      </c>
      <c r="AC2" s="15" t="n">
        <v>1</v>
      </c>
      <c r="AD2" s="15" t="n">
        <v>1</v>
      </c>
      <c r="AE2" s="15" t="n">
        <v>1</v>
      </c>
      <c r="AF2" s="15" t="n">
        <v>1</v>
      </c>
      <c r="AG2" s="15" t="n">
        <v>1</v>
      </c>
      <c r="AH2" s="15" t="n">
        <v>1</v>
      </c>
      <c r="AI2" s="15" t="n">
        <v>1</v>
      </c>
      <c r="AJ2" s="15" t="n">
        <v>1</v>
      </c>
      <c r="AK2" s="15" t="n">
        <v>1</v>
      </c>
      <c r="AL2" s="15" t="n">
        <v>1</v>
      </c>
    </row>
    <row r="3">
      <c r="A3" t="inlineStr">
        <is>
          <t>Engineer</t>
        </is>
      </c>
      <c r="B3" s="5">
        <f>Assumptions!$B$48</f>
        <v/>
      </c>
      <c r="C3" s="15" t="n">
        <v>1</v>
      </c>
      <c r="D3" s="15" t="n">
        <v>1</v>
      </c>
      <c r="E3" s="15" t="n">
        <v>1</v>
      </c>
      <c r="F3" s="15" t="n">
        <v>2</v>
      </c>
      <c r="G3" s="15" t="n">
        <v>2</v>
      </c>
      <c r="H3" s="15" t="n">
        <v>2</v>
      </c>
      <c r="I3" s="15" t="n">
        <v>2</v>
      </c>
      <c r="J3" s="15" t="n">
        <v>2</v>
      </c>
      <c r="K3" s="15" t="n">
        <v>3</v>
      </c>
      <c r="L3" s="15" t="n">
        <v>3</v>
      </c>
      <c r="M3" s="15" t="n">
        <v>3</v>
      </c>
      <c r="N3" s="15" t="n">
        <v>3</v>
      </c>
      <c r="O3" s="15" t="n">
        <v>3</v>
      </c>
      <c r="P3" s="15" t="n">
        <v>3</v>
      </c>
      <c r="Q3" s="15" t="n">
        <v>4</v>
      </c>
      <c r="R3" s="15" t="n">
        <v>4</v>
      </c>
      <c r="S3" s="15" t="n">
        <v>4</v>
      </c>
      <c r="T3" s="15" t="n">
        <v>4</v>
      </c>
      <c r="U3" s="15" t="n">
        <v>4</v>
      </c>
      <c r="V3" s="15" t="n">
        <v>4</v>
      </c>
      <c r="W3" s="15" t="n">
        <v>4</v>
      </c>
      <c r="X3" s="15" t="n">
        <v>4</v>
      </c>
      <c r="Y3" s="15" t="n">
        <v>4</v>
      </c>
      <c r="Z3" s="15" t="n">
        <v>4</v>
      </c>
      <c r="AA3" s="15" t="n">
        <v>6</v>
      </c>
      <c r="AB3" s="15" t="n">
        <v>6</v>
      </c>
      <c r="AC3" s="15" t="n">
        <v>6</v>
      </c>
      <c r="AD3" s="15" t="n">
        <v>6</v>
      </c>
      <c r="AE3" s="15" t="n">
        <v>6</v>
      </c>
      <c r="AF3" s="15" t="n">
        <v>6</v>
      </c>
      <c r="AG3" s="15" t="n">
        <v>8</v>
      </c>
      <c r="AH3" s="15" t="n">
        <v>8</v>
      </c>
      <c r="AI3" s="15" t="n">
        <v>8</v>
      </c>
      <c r="AJ3" s="15" t="n">
        <v>8</v>
      </c>
      <c r="AK3" s="15" t="n">
        <v>8</v>
      </c>
      <c r="AL3" s="15" t="n">
        <v>8</v>
      </c>
    </row>
    <row r="4">
      <c r="A4" t="inlineStr">
        <is>
          <t>AI / prompt engineer</t>
        </is>
      </c>
      <c r="B4" s="5">
        <f>Assumptions!$B$49</f>
        <v/>
      </c>
      <c r="C4" s="15" t="n">
        <v>1</v>
      </c>
      <c r="D4" s="15" t="n">
        <v>1</v>
      </c>
      <c r="E4" s="15" t="n">
        <v>1</v>
      </c>
      <c r="F4" s="15" t="n">
        <v>1</v>
      </c>
      <c r="G4" s="15" t="n">
        <v>1</v>
      </c>
      <c r="H4" s="15" t="n">
        <v>1</v>
      </c>
      <c r="I4" s="15" t="n">
        <v>2</v>
      </c>
      <c r="J4" s="15" t="n">
        <v>2</v>
      </c>
      <c r="K4" s="15" t="n">
        <v>2</v>
      </c>
      <c r="L4" s="15" t="n">
        <v>2</v>
      </c>
      <c r="M4" s="15" t="n">
        <v>2</v>
      </c>
      <c r="N4" s="15" t="n">
        <v>2</v>
      </c>
      <c r="O4" s="15" t="n">
        <v>2</v>
      </c>
      <c r="P4" s="15" t="n">
        <v>2</v>
      </c>
      <c r="Q4" s="15" t="n">
        <v>2</v>
      </c>
      <c r="R4" s="15" t="n">
        <v>2</v>
      </c>
      <c r="S4" s="15" t="n">
        <v>2</v>
      </c>
      <c r="T4" s="15" t="n">
        <v>2</v>
      </c>
      <c r="U4" s="15" t="n">
        <v>2</v>
      </c>
      <c r="V4" s="15" t="n">
        <v>2</v>
      </c>
      <c r="W4" s="15" t="n">
        <v>2</v>
      </c>
      <c r="X4" s="15" t="n">
        <v>2</v>
      </c>
      <c r="Y4" s="15" t="n">
        <v>2</v>
      </c>
      <c r="Z4" s="15" t="n">
        <v>2</v>
      </c>
      <c r="AA4" s="15" t="n">
        <v>2</v>
      </c>
      <c r="AB4" s="15" t="n">
        <v>2</v>
      </c>
      <c r="AC4" s="15" t="n">
        <v>2</v>
      </c>
      <c r="AD4" s="15" t="n">
        <v>2</v>
      </c>
      <c r="AE4" s="15" t="n">
        <v>2</v>
      </c>
      <c r="AF4" s="15" t="n">
        <v>2</v>
      </c>
      <c r="AG4" s="15" t="n">
        <v>2</v>
      </c>
      <c r="AH4" s="15" t="n">
        <v>2</v>
      </c>
      <c r="AI4" s="15" t="n">
        <v>2</v>
      </c>
      <c r="AJ4" s="15" t="n">
        <v>2</v>
      </c>
      <c r="AK4" s="15" t="n">
        <v>2</v>
      </c>
      <c r="AL4" s="15" t="n">
        <v>2</v>
      </c>
    </row>
    <row r="5">
      <c r="A5" t="inlineStr">
        <is>
          <t>Designer</t>
        </is>
      </c>
      <c r="B5" s="5">
        <f>Assumptions!$B$50</f>
        <v/>
      </c>
      <c r="C5" s="15" t="n">
        <v>0</v>
      </c>
      <c r="D5" s="15" t="n">
        <v>0</v>
      </c>
      <c r="E5" s="15" t="n">
        <v>0</v>
      </c>
      <c r="F5" s="15" t="n">
        <v>0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1</v>
      </c>
      <c r="O5" s="15" t="n">
        <v>1</v>
      </c>
      <c r="P5" s="15" t="n">
        <v>1</v>
      </c>
      <c r="Q5" s="15" t="n">
        <v>1</v>
      </c>
      <c r="R5" s="15" t="n">
        <v>1</v>
      </c>
      <c r="S5" s="15" t="n">
        <v>1</v>
      </c>
      <c r="T5" s="15" t="n">
        <v>1</v>
      </c>
      <c r="U5" s="15" t="n">
        <v>1</v>
      </c>
      <c r="V5" s="15" t="n">
        <v>1</v>
      </c>
      <c r="W5" s="15" t="n">
        <v>1</v>
      </c>
      <c r="X5" s="15" t="n">
        <v>1</v>
      </c>
      <c r="Y5" s="15" t="n">
        <v>1</v>
      </c>
      <c r="Z5" s="15" t="n">
        <v>1</v>
      </c>
      <c r="AA5" s="15" t="n">
        <v>1</v>
      </c>
      <c r="AB5" s="15" t="n">
        <v>1</v>
      </c>
      <c r="AC5" s="15" t="n">
        <v>1</v>
      </c>
      <c r="AD5" s="15" t="n">
        <v>1</v>
      </c>
      <c r="AE5" s="15" t="n">
        <v>1</v>
      </c>
      <c r="AF5" s="15" t="n">
        <v>1</v>
      </c>
      <c r="AG5" s="15" t="n">
        <v>1</v>
      </c>
      <c r="AH5" s="15" t="n">
        <v>1</v>
      </c>
      <c r="AI5" s="15" t="n">
        <v>1</v>
      </c>
      <c r="AJ5" s="15" t="n">
        <v>1</v>
      </c>
      <c r="AK5" s="15" t="n">
        <v>1</v>
      </c>
      <c r="AL5" s="15" t="n">
        <v>1</v>
      </c>
    </row>
    <row r="6">
      <c r="A6" t="inlineStr">
        <is>
          <t>Growth / partnerships</t>
        </is>
      </c>
      <c r="B6" s="5">
        <f>Assumptions!$B$51</f>
        <v/>
      </c>
      <c r="C6" s="15" t="n">
        <v>0</v>
      </c>
      <c r="D6" s="15" t="n">
        <v>0</v>
      </c>
      <c r="E6" s="15" t="n">
        <v>0</v>
      </c>
      <c r="F6" s="15" t="n">
        <v>1</v>
      </c>
      <c r="G6" s="15" t="n">
        <v>1</v>
      </c>
      <c r="H6" s="15" t="n">
        <v>1</v>
      </c>
      <c r="I6" s="15" t="n">
        <v>1</v>
      </c>
      <c r="J6" s="15" t="n">
        <v>1</v>
      </c>
      <c r="K6" s="15" t="n">
        <v>1</v>
      </c>
      <c r="L6" s="15" t="n">
        <v>1</v>
      </c>
      <c r="M6" s="15" t="n">
        <v>1</v>
      </c>
      <c r="N6" s="15" t="n">
        <v>1</v>
      </c>
      <c r="O6" s="15" t="n">
        <v>1</v>
      </c>
      <c r="P6" s="15" t="n">
        <v>1</v>
      </c>
      <c r="Q6" s="15" t="n">
        <v>1</v>
      </c>
      <c r="R6" s="15" t="n">
        <v>2</v>
      </c>
      <c r="S6" s="15" t="n">
        <v>2</v>
      </c>
      <c r="T6" s="15" t="n">
        <v>2</v>
      </c>
      <c r="U6" s="15" t="n">
        <v>2</v>
      </c>
      <c r="V6" s="15" t="n">
        <v>2</v>
      </c>
      <c r="W6" s="15" t="n">
        <v>2</v>
      </c>
      <c r="X6" s="15" t="n">
        <v>2</v>
      </c>
      <c r="Y6" s="15" t="n">
        <v>2</v>
      </c>
      <c r="Z6" s="15" t="n">
        <v>2</v>
      </c>
      <c r="AA6" s="15" t="n">
        <v>2</v>
      </c>
      <c r="AB6" s="15" t="n">
        <v>2</v>
      </c>
      <c r="AC6" s="15" t="n">
        <v>2</v>
      </c>
      <c r="AD6" s="15" t="n">
        <v>3</v>
      </c>
      <c r="AE6" s="15" t="n">
        <v>3</v>
      </c>
      <c r="AF6" s="15" t="n">
        <v>3</v>
      </c>
      <c r="AG6" s="15" t="n">
        <v>3</v>
      </c>
      <c r="AH6" s="15" t="n">
        <v>3</v>
      </c>
      <c r="AI6" s="15" t="n">
        <v>3</v>
      </c>
      <c r="AJ6" s="15" t="n">
        <v>3</v>
      </c>
      <c r="AK6" s="15" t="n">
        <v>3</v>
      </c>
      <c r="AL6" s="15" t="n">
        <v>3</v>
      </c>
    </row>
    <row r="7">
      <c r="A7" t="inlineStr">
        <is>
          <t>Customer success / Arabic QA</t>
        </is>
      </c>
      <c r="B7" s="5">
        <f>Assumptions!$B$52</f>
        <v/>
      </c>
      <c r="C7" s="15" t="n">
        <v>1</v>
      </c>
      <c r="D7" s="15" t="n">
        <v>1</v>
      </c>
      <c r="E7" s="15" t="n">
        <v>1</v>
      </c>
      <c r="F7" s="15" t="n">
        <v>1</v>
      </c>
      <c r="G7" s="15" t="n">
        <v>2</v>
      </c>
      <c r="H7" s="15" t="n">
        <v>2</v>
      </c>
      <c r="I7" s="15" t="n">
        <v>2</v>
      </c>
      <c r="J7" s="15" t="n">
        <v>2</v>
      </c>
      <c r="K7" s="15" t="n">
        <v>2</v>
      </c>
      <c r="L7" s="15" t="n">
        <v>2</v>
      </c>
      <c r="M7" s="15" t="n">
        <v>3</v>
      </c>
      <c r="N7" s="15" t="n">
        <v>3</v>
      </c>
      <c r="O7" s="15" t="n">
        <v>3</v>
      </c>
      <c r="P7" s="15" t="n">
        <v>3</v>
      </c>
      <c r="Q7" s="15" t="n">
        <v>3</v>
      </c>
      <c r="R7" s="15" t="n">
        <v>3</v>
      </c>
      <c r="S7" s="15" t="n">
        <v>3</v>
      </c>
      <c r="T7" s="15" t="n">
        <v>3</v>
      </c>
      <c r="U7" s="15" t="n">
        <v>5</v>
      </c>
      <c r="V7" s="15" t="n">
        <v>5</v>
      </c>
      <c r="W7" s="15" t="n">
        <v>5</v>
      </c>
      <c r="X7" s="15" t="n">
        <v>5</v>
      </c>
      <c r="Y7" s="15" t="n">
        <v>5</v>
      </c>
      <c r="Z7" s="15" t="n">
        <v>5</v>
      </c>
      <c r="AA7" s="15" t="n">
        <v>8</v>
      </c>
      <c r="AB7" s="15" t="n">
        <v>8</v>
      </c>
      <c r="AC7" s="15" t="n">
        <v>8</v>
      </c>
      <c r="AD7" s="15" t="n">
        <v>8</v>
      </c>
      <c r="AE7" s="15" t="n">
        <v>8</v>
      </c>
      <c r="AF7" s="15" t="n">
        <v>8</v>
      </c>
      <c r="AG7" s="15" t="n">
        <v>12</v>
      </c>
      <c r="AH7" s="15" t="n">
        <v>12</v>
      </c>
      <c r="AI7" s="15" t="n">
        <v>12</v>
      </c>
      <c r="AJ7" s="15" t="n">
        <v>12</v>
      </c>
      <c r="AK7" s="15" t="n">
        <v>12</v>
      </c>
      <c r="AL7" s="15" t="n">
        <v>12</v>
      </c>
    </row>
    <row r="8">
      <c r="A8" t="inlineStr">
        <is>
          <t>Enterprise sales</t>
        </is>
      </c>
      <c r="B8" s="5">
        <f>Assumptions!$B$53</f>
        <v/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1</v>
      </c>
      <c r="M8" s="15" t="n">
        <v>1</v>
      </c>
      <c r="N8" s="15" t="n">
        <v>1</v>
      </c>
      <c r="O8" s="15" t="n">
        <v>1</v>
      </c>
      <c r="P8" s="15" t="n">
        <v>1</v>
      </c>
      <c r="Q8" s="15" t="n">
        <v>1</v>
      </c>
      <c r="R8" s="15" t="n">
        <v>1</v>
      </c>
      <c r="S8" s="15" t="n">
        <v>1</v>
      </c>
      <c r="T8" s="15" t="n">
        <v>1</v>
      </c>
      <c r="U8" s="15" t="n">
        <v>1</v>
      </c>
      <c r="V8" s="15" t="n">
        <v>1</v>
      </c>
      <c r="W8" s="15" t="n">
        <v>1</v>
      </c>
      <c r="X8" s="15" t="n">
        <v>2</v>
      </c>
      <c r="Y8" s="15" t="n">
        <v>2</v>
      </c>
      <c r="Z8" s="15" t="n">
        <v>2</v>
      </c>
      <c r="AA8" s="15" t="n">
        <v>2</v>
      </c>
      <c r="AB8" s="15" t="n">
        <v>2</v>
      </c>
      <c r="AC8" s="15" t="n">
        <v>2</v>
      </c>
      <c r="AD8" s="15" t="n">
        <v>2</v>
      </c>
      <c r="AE8" s="15" t="n">
        <v>2</v>
      </c>
      <c r="AF8" s="15" t="n">
        <v>2</v>
      </c>
      <c r="AG8" s="15" t="n">
        <v>3</v>
      </c>
      <c r="AH8" s="15" t="n">
        <v>3</v>
      </c>
      <c r="AI8" s="15" t="n">
        <v>3</v>
      </c>
      <c r="AJ8" s="15" t="n">
        <v>3</v>
      </c>
      <c r="AK8" s="15" t="n">
        <v>3</v>
      </c>
      <c r="AL8" s="15" t="n">
        <v>3</v>
      </c>
    </row>
    <row r="9">
      <c r="A9" s="4" t="inlineStr">
        <is>
          <t>Total headcount</t>
        </is>
      </c>
      <c r="C9" s="4">
        <f>SUM(C2:C8)</f>
        <v/>
      </c>
      <c r="D9" s="4">
        <f>SUM(D2:D8)</f>
        <v/>
      </c>
      <c r="E9" s="4">
        <f>SUM(E2:E8)</f>
        <v/>
      </c>
      <c r="F9" s="4">
        <f>SUM(F2:F8)</f>
        <v/>
      </c>
      <c r="G9" s="4">
        <f>SUM(G2:G8)</f>
        <v/>
      </c>
      <c r="H9" s="4">
        <f>SUM(H2:H8)</f>
        <v/>
      </c>
      <c r="I9" s="4">
        <f>SUM(I2:I8)</f>
        <v/>
      </c>
      <c r="J9" s="4">
        <f>SUM(J2:J8)</f>
        <v/>
      </c>
      <c r="K9" s="4">
        <f>SUM(K2:K8)</f>
        <v/>
      </c>
      <c r="L9" s="4">
        <f>SUM(L2:L8)</f>
        <v/>
      </c>
      <c r="M9" s="4">
        <f>SUM(M2:M8)</f>
        <v/>
      </c>
      <c r="N9" s="4">
        <f>SUM(N2:N8)</f>
        <v/>
      </c>
      <c r="O9" s="4">
        <f>SUM(O2:O8)</f>
        <v/>
      </c>
      <c r="P9" s="4">
        <f>SUM(P2:P8)</f>
        <v/>
      </c>
      <c r="Q9" s="4">
        <f>SUM(Q2:Q8)</f>
        <v/>
      </c>
      <c r="R9" s="4">
        <f>SUM(R2:R8)</f>
        <v/>
      </c>
      <c r="S9" s="4">
        <f>SUM(S2:S8)</f>
        <v/>
      </c>
      <c r="T9" s="4">
        <f>SUM(T2:T8)</f>
        <v/>
      </c>
      <c r="U9" s="4">
        <f>SUM(U2:U8)</f>
        <v/>
      </c>
      <c r="V9" s="4">
        <f>SUM(V2:V8)</f>
        <v/>
      </c>
      <c r="W9" s="4">
        <f>SUM(W2:W8)</f>
        <v/>
      </c>
      <c r="X9" s="4">
        <f>SUM(X2:X8)</f>
        <v/>
      </c>
      <c r="Y9" s="4">
        <f>SUM(Y2:Y8)</f>
        <v/>
      </c>
      <c r="Z9" s="4">
        <f>SUM(Z2:Z8)</f>
        <v/>
      </c>
      <c r="AA9" s="4">
        <f>SUM(AA2:AA8)</f>
        <v/>
      </c>
      <c r="AB9" s="4">
        <f>SUM(AB2:AB8)</f>
        <v/>
      </c>
      <c r="AC9" s="4">
        <f>SUM(AC2:AC8)</f>
        <v/>
      </c>
      <c r="AD9" s="4">
        <f>SUM(AD2:AD8)</f>
        <v/>
      </c>
      <c r="AE9" s="4">
        <f>SUM(AE2:AE8)</f>
        <v/>
      </c>
      <c r="AF9" s="4">
        <f>SUM(AF2:AF8)</f>
        <v/>
      </c>
      <c r="AG9" s="4">
        <f>SUM(AG2:AG8)</f>
        <v/>
      </c>
      <c r="AH9" s="4">
        <f>SUM(AH2:AH8)</f>
        <v/>
      </c>
      <c r="AI9" s="4">
        <f>SUM(AI2:AI8)</f>
        <v/>
      </c>
      <c r="AJ9" s="4">
        <f>SUM(AJ2:AJ8)</f>
        <v/>
      </c>
      <c r="AK9" s="4">
        <f>SUM(AK2:AK8)</f>
        <v/>
      </c>
      <c r="AL9" s="4">
        <f>SUM(AL2:AL8)</f>
        <v/>
      </c>
    </row>
    <row r="10">
      <c r="A10" s="4" t="inlineStr">
        <is>
          <t>Total payroll (SAR)</t>
        </is>
      </c>
      <c r="C10" s="16">
        <f>C2*$B$2+C3*$B$3+C4*$B$4+C5*$B$5+C6*$B$6+C7*$B$7+C8*$B$8</f>
        <v/>
      </c>
      <c r="D10" s="16">
        <f>D2*$B$2+D3*$B$3+D4*$B$4+D5*$B$5+D6*$B$6+D7*$B$7+D8*$B$8</f>
        <v/>
      </c>
      <c r="E10" s="16">
        <f>E2*$B$2+E3*$B$3+E4*$B$4+E5*$B$5+E6*$B$6+E7*$B$7+E8*$B$8</f>
        <v/>
      </c>
      <c r="F10" s="16">
        <f>F2*$B$2+F3*$B$3+F4*$B$4+F5*$B$5+F6*$B$6+F7*$B$7+F8*$B$8</f>
        <v/>
      </c>
      <c r="G10" s="16">
        <f>G2*$B$2+G3*$B$3+G4*$B$4+G5*$B$5+G6*$B$6+G7*$B$7+G8*$B$8</f>
        <v/>
      </c>
      <c r="H10" s="16">
        <f>H2*$B$2+H3*$B$3+H4*$B$4+H5*$B$5+H6*$B$6+H7*$B$7+H8*$B$8</f>
        <v/>
      </c>
      <c r="I10" s="16">
        <f>I2*$B$2+I3*$B$3+I4*$B$4+I5*$B$5+I6*$B$6+I7*$B$7+I8*$B$8</f>
        <v/>
      </c>
      <c r="J10" s="16">
        <f>J2*$B$2+J3*$B$3+J4*$B$4+J5*$B$5+J6*$B$6+J7*$B$7+J8*$B$8</f>
        <v/>
      </c>
      <c r="K10" s="16">
        <f>K2*$B$2+K3*$B$3+K4*$B$4+K5*$B$5+K6*$B$6+K7*$B$7+K8*$B$8</f>
        <v/>
      </c>
      <c r="L10" s="16">
        <f>L2*$B$2+L3*$B$3+L4*$B$4+L5*$B$5+L6*$B$6+L7*$B$7+L8*$B$8</f>
        <v/>
      </c>
      <c r="M10" s="16">
        <f>M2*$B$2+M3*$B$3+M4*$B$4+M5*$B$5+M6*$B$6+M7*$B$7+M8*$B$8</f>
        <v/>
      </c>
      <c r="N10" s="16">
        <f>N2*$B$2+N3*$B$3+N4*$B$4+N5*$B$5+N6*$B$6+N7*$B$7+N8*$B$8</f>
        <v/>
      </c>
      <c r="O10" s="16">
        <f>O2*$B$2+O3*$B$3+O4*$B$4+O5*$B$5+O6*$B$6+O7*$B$7+O8*$B$8</f>
        <v/>
      </c>
      <c r="P10" s="16">
        <f>P2*$B$2+P3*$B$3+P4*$B$4+P5*$B$5+P6*$B$6+P7*$B$7+P8*$B$8</f>
        <v/>
      </c>
      <c r="Q10" s="16">
        <f>Q2*$B$2+Q3*$B$3+Q4*$B$4+Q5*$B$5+Q6*$B$6+Q7*$B$7+Q8*$B$8</f>
        <v/>
      </c>
      <c r="R10" s="16">
        <f>R2*$B$2+R3*$B$3+R4*$B$4+R5*$B$5+R6*$B$6+R7*$B$7+R8*$B$8</f>
        <v/>
      </c>
      <c r="S10" s="16">
        <f>S2*$B$2+S3*$B$3+S4*$B$4+S5*$B$5+S6*$B$6+S7*$B$7+S8*$B$8</f>
        <v/>
      </c>
      <c r="T10" s="16">
        <f>T2*$B$2+T3*$B$3+T4*$B$4+T5*$B$5+T6*$B$6+T7*$B$7+T8*$B$8</f>
        <v/>
      </c>
      <c r="U10" s="16">
        <f>U2*$B$2+U3*$B$3+U4*$B$4+U5*$B$5+U6*$B$6+U7*$B$7+U8*$B$8</f>
        <v/>
      </c>
      <c r="V10" s="16">
        <f>V2*$B$2+V3*$B$3+V4*$B$4+V5*$B$5+V6*$B$6+V7*$B$7+V8*$B$8</f>
        <v/>
      </c>
      <c r="W10" s="16">
        <f>W2*$B$2+W3*$B$3+W4*$B$4+W5*$B$5+W6*$B$6+W7*$B$7+W8*$B$8</f>
        <v/>
      </c>
      <c r="X10" s="16">
        <f>X2*$B$2+X3*$B$3+X4*$B$4+X5*$B$5+X6*$B$6+X7*$B$7+X8*$B$8</f>
        <v/>
      </c>
      <c r="Y10" s="16">
        <f>Y2*$B$2+Y3*$B$3+Y4*$B$4+Y5*$B$5+Y6*$B$6+Y7*$B$7+Y8*$B$8</f>
        <v/>
      </c>
      <c r="Z10" s="16">
        <f>Z2*$B$2+Z3*$B$3+Z4*$B$4+Z5*$B$5+Z6*$B$6+Z7*$B$7+Z8*$B$8</f>
        <v/>
      </c>
      <c r="AA10" s="16">
        <f>AA2*$B$2+AA3*$B$3+AA4*$B$4+AA5*$B$5+AA6*$B$6+AA7*$B$7+AA8*$B$8</f>
        <v/>
      </c>
      <c r="AB10" s="16">
        <f>AB2*$B$2+AB3*$B$3+AB4*$B$4+AB5*$B$5+AB6*$B$6+AB7*$B$7+AB8*$B$8</f>
        <v/>
      </c>
      <c r="AC10" s="16">
        <f>AC2*$B$2+AC3*$B$3+AC4*$B$4+AC5*$B$5+AC6*$B$6+AC7*$B$7+AC8*$B$8</f>
        <v/>
      </c>
      <c r="AD10" s="16">
        <f>AD2*$B$2+AD3*$B$3+AD4*$B$4+AD5*$B$5+AD6*$B$6+AD7*$B$7+AD8*$B$8</f>
        <v/>
      </c>
      <c r="AE10" s="16">
        <f>AE2*$B$2+AE3*$B$3+AE4*$B$4+AE5*$B$5+AE6*$B$6+AE7*$B$7+AE8*$B$8</f>
        <v/>
      </c>
      <c r="AF10" s="16">
        <f>AF2*$B$2+AF3*$B$3+AF4*$B$4+AF5*$B$5+AF6*$B$6+AF7*$B$7+AF8*$B$8</f>
        <v/>
      </c>
      <c r="AG10" s="16">
        <f>AG2*$B$2+AG3*$B$3+AG4*$B$4+AG5*$B$5+AG6*$B$6+AG7*$B$7+AG8*$B$8</f>
        <v/>
      </c>
      <c r="AH10" s="16">
        <f>AH2*$B$2+AH3*$B$3+AH4*$B$4+AH5*$B$5+AH6*$B$6+AH7*$B$7+AH8*$B$8</f>
        <v/>
      </c>
      <c r="AI10" s="16">
        <f>AI2*$B$2+AI3*$B$3+AI4*$B$4+AI5*$B$5+AI6*$B$6+AI7*$B$7+AI8*$B$8</f>
        <v/>
      </c>
      <c r="AJ10" s="16">
        <f>AJ2*$B$2+AJ3*$B$3+AJ4*$B$4+AJ5*$B$5+AJ6*$B$6+AJ7*$B$7+AJ8*$B$8</f>
        <v/>
      </c>
      <c r="AK10" s="16">
        <f>AK2*$B$2+AK3*$B$3+AK4*$B$4+AK5*$B$5+AK6*$B$6+AK7*$B$7+AK8*$B$8</f>
        <v/>
      </c>
      <c r="AL10" s="16">
        <f>AL2*$B$2+AL3*$B$3+AL4*$B$4+AL5*$B$5+AL6*$B$6+AL7*$B$7+AL8*$B$8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Metric</t>
        </is>
      </c>
      <c r="B1" s="3" t="inlineStr">
        <is>
          <t>Oct-26</t>
        </is>
      </c>
      <c r="C1" s="3" t="inlineStr">
        <is>
          <t>Nov-26</t>
        </is>
      </c>
      <c r="D1" s="3" t="inlineStr">
        <is>
          <t>Dec-26</t>
        </is>
      </c>
      <c r="E1" s="3" t="inlineStr">
        <is>
          <t>Jan-27</t>
        </is>
      </c>
      <c r="F1" s="3" t="inlineStr">
        <is>
          <t>Feb-27</t>
        </is>
      </c>
      <c r="G1" s="3" t="inlineStr">
        <is>
          <t>Mar-27</t>
        </is>
      </c>
      <c r="H1" s="3" t="inlineStr">
        <is>
          <t>Apr-27</t>
        </is>
      </c>
      <c r="I1" s="3" t="inlineStr">
        <is>
          <t>May-27</t>
        </is>
      </c>
      <c r="J1" s="3" t="inlineStr">
        <is>
          <t>Jun-27</t>
        </is>
      </c>
      <c r="K1" s="3" t="inlineStr">
        <is>
          <t>Jul-27</t>
        </is>
      </c>
      <c r="L1" s="3" t="inlineStr">
        <is>
          <t>Aug-27</t>
        </is>
      </c>
      <c r="M1" s="3" t="inlineStr">
        <is>
          <t>Sep-27</t>
        </is>
      </c>
      <c r="N1" s="3" t="inlineStr">
        <is>
          <t>Oct-27</t>
        </is>
      </c>
      <c r="O1" s="3" t="inlineStr">
        <is>
          <t>Nov-27</t>
        </is>
      </c>
      <c r="P1" s="3" t="inlineStr">
        <is>
          <t>Dec-27</t>
        </is>
      </c>
      <c r="Q1" s="3" t="inlineStr">
        <is>
          <t>Jan-28</t>
        </is>
      </c>
      <c r="R1" s="3" t="inlineStr">
        <is>
          <t>Feb-28</t>
        </is>
      </c>
      <c r="S1" s="3" t="inlineStr">
        <is>
          <t>Mar-28</t>
        </is>
      </c>
      <c r="T1" s="3" t="inlineStr">
        <is>
          <t>Apr-28</t>
        </is>
      </c>
      <c r="U1" s="3" t="inlineStr">
        <is>
          <t>May-28</t>
        </is>
      </c>
      <c r="V1" s="3" t="inlineStr">
        <is>
          <t>Jun-28</t>
        </is>
      </c>
      <c r="W1" s="3" t="inlineStr">
        <is>
          <t>Jul-28</t>
        </is>
      </c>
      <c r="X1" s="3" t="inlineStr">
        <is>
          <t>Aug-28</t>
        </is>
      </c>
      <c r="Y1" s="3" t="inlineStr">
        <is>
          <t>Sep-28</t>
        </is>
      </c>
      <c r="Z1" s="3" t="inlineStr">
        <is>
          <t>Oct-28</t>
        </is>
      </c>
      <c r="AA1" s="3" t="inlineStr">
        <is>
          <t>Nov-28</t>
        </is>
      </c>
      <c r="AB1" s="3" t="inlineStr">
        <is>
          <t>Dec-28</t>
        </is>
      </c>
      <c r="AC1" s="3" t="inlineStr">
        <is>
          <t>Jan-29</t>
        </is>
      </c>
      <c r="AD1" s="3" t="inlineStr">
        <is>
          <t>Feb-29</t>
        </is>
      </c>
      <c r="AE1" s="3" t="inlineStr">
        <is>
          <t>Mar-29</t>
        </is>
      </c>
      <c r="AF1" s="3" t="inlineStr">
        <is>
          <t>Apr-29</t>
        </is>
      </c>
      <c r="AG1" s="3" t="inlineStr">
        <is>
          <t>May-29</t>
        </is>
      </c>
      <c r="AH1" s="3" t="inlineStr">
        <is>
          <t>Jun-29</t>
        </is>
      </c>
      <c r="AI1" s="3" t="inlineStr">
        <is>
          <t>Jul-29</t>
        </is>
      </c>
      <c r="AJ1" s="3" t="inlineStr">
        <is>
          <t>Aug-29</t>
        </is>
      </c>
      <c r="AK1" s="3" t="inlineStr">
        <is>
          <t>Sep-29</t>
        </is>
      </c>
    </row>
    <row r="2">
      <c r="A2" s="6" t="inlineStr">
        <is>
          <t>Month #</t>
        </is>
      </c>
      <c r="B2" s="8" t="n">
        <v>1</v>
      </c>
      <c r="C2" s="8" t="n">
        <v>2</v>
      </c>
      <c r="D2" s="8" t="n">
        <v>3</v>
      </c>
      <c r="E2" s="8" t="n">
        <v>4</v>
      </c>
      <c r="F2" s="8" t="n">
        <v>5</v>
      </c>
      <c r="G2" s="8" t="n">
        <v>6</v>
      </c>
      <c r="H2" s="8" t="n">
        <v>7</v>
      </c>
      <c r="I2" s="8" t="n">
        <v>8</v>
      </c>
      <c r="J2" s="8" t="n">
        <v>9</v>
      </c>
      <c r="K2" s="8" t="n">
        <v>10</v>
      </c>
      <c r="L2" s="8" t="n">
        <v>11</v>
      </c>
      <c r="M2" s="8" t="n">
        <v>12</v>
      </c>
      <c r="N2" s="8" t="n">
        <v>13</v>
      </c>
      <c r="O2" s="8" t="n">
        <v>14</v>
      </c>
      <c r="P2" s="8" t="n">
        <v>15</v>
      </c>
      <c r="Q2" s="8" t="n">
        <v>16</v>
      </c>
      <c r="R2" s="8" t="n">
        <v>17</v>
      </c>
      <c r="S2" s="8" t="n">
        <v>18</v>
      </c>
      <c r="T2" s="8" t="n">
        <v>19</v>
      </c>
      <c r="U2" s="8" t="n">
        <v>20</v>
      </c>
      <c r="V2" s="8" t="n">
        <v>21</v>
      </c>
      <c r="W2" s="8" t="n">
        <v>22</v>
      </c>
      <c r="X2" s="8" t="n">
        <v>23</v>
      </c>
      <c r="Y2" s="8" t="n">
        <v>24</v>
      </c>
      <c r="Z2" s="8" t="n">
        <v>25</v>
      </c>
      <c r="AA2" s="8" t="n">
        <v>26</v>
      </c>
      <c r="AB2" s="8" t="n">
        <v>27</v>
      </c>
      <c r="AC2" s="8" t="n">
        <v>28</v>
      </c>
      <c r="AD2" s="8" t="n">
        <v>29</v>
      </c>
      <c r="AE2" s="8" t="n">
        <v>30</v>
      </c>
      <c r="AF2" s="8" t="n">
        <v>31</v>
      </c>
      <c r="AG2" s="8" t="n">
        <v>32</v>
      </c>
      <c r="AH2" s="8" t="n">
        <v>33</v>
      </c>
      <c r="AI2" s="8" t="n">
        <v>34</v>
      </c>
      <c r="AJ2" s="8" t="n">
        <v>35</v>
      </c>
      <c r="AK2" s="8" t="n">
        <v>36</v>
      </c>
    </row>
    <row r="3">
      <c r="A3" s="6" t="inlineStr">
        <is>
          <t>Trials</t>
        </is>
      </c>
      <c r="B3" s="8">
        <f>Assumptions!$B$21</f>
        <v/>
      </c>
      <c r="C3" s="8">
        <f>ROUND(B3*(1+IF(C2&lt;=12,Assumptions!$B$22,IF(C2&lt;=24,Assumptions!$B$23,Assumptions!$B$24))),0)</f>
        <v/>
      </c>
      <c r="D3" s="8">
        <f>ROUND(C3*(1+IF(D2&lt;=12,Assumptions!$B$22,IF(D2&lt;=24,Assumptions!$B$23,Assumptions!$B$24))),0)</f>
        <v/>
      </c>
      <c r="E3" s="8">
        <f>ROUND(D3*(1+IF(E2&lt;=12,Assumptions!$B$22,IF(E2&lt;=24,Assumptions!$B$23,Assumptions!$B$24))),0)</f>
        <v/>
      </c>
      <c r="F3" s="8">
        <f>ROUND(E3*(1+IF(F2&lt;=12,Assumptions!$B$22,IF(F2&lt;=24,Assumptions!$B$23,Assumptions!$B$24))),0)</f>
        <v/>
      </c>
      <c r="G3" s="8">
        <f>ROUND(F3*(1+IF(G2&lt;=12,Assumptions!$B$22,IF(G2&lt;=24,Assumptions!$B$23,Assumptions!$B$24))),0)</f>
        <v/>
      </c>
      <c r="H3" s="8">
        <f>ROUND(G3*(1+IF(H2&lt;=12,Assumptions!$B$22,IF(H2&lt;=24,Assumptions!$B$23,Assumptions!$B$24))),0)</f>
        <v/>
      </c>
      <c r="I3" s="8">
        <f>ROUND(H3*(1+IF(I2&lt;=12,Assumptions!$B$22,IF(I2&lt;=24,Assumptions!$B$23,Assumptions!$B$24))),0)</f>
        <v/>
      </c>
      <c r="J3" s="8">
        <f>ROUND(I3*(1+IF(J2&lt;=12,Assumptions!$B$22,IF(J2&lt;=24,Assumptions!$B$23,Assumptions!$B$24))),0)</f>
        <v/>
      </c>
      <c r="K3" s="8">
        <f>ROUND(J3*(1+IF(K2&lt;=12,Assumptions!$B$22,IF(K2&lt;=24,Assumptions!$B$23,Assumptions!$B$24))),0)</f>
        <v/>
      </c>
      <c r="L3" s="8">
        <f>ROUND(K3*(1+IF(L2&lt;=12,Assumptions!$B$22,IF(L2&lt;=24,Assumptions!$B$23,Assumptions!$B$24))),0)</f>
        <v/>
      </c>
      <c r="M3" s="8">
        <f>ROUND(L3*(1+IF(M2&lt;=12,Assumptions!$B$22,IF(M2&lt;=24,Assumptions!$B$23,Assumptions!$B$24))),0)</f>
        <v/>
      </c>
      <c r="N3" s="8">
        <f>ROUND(M3*(1+IF(N2&lt;=12,Assumptions!$B$22,IF(N2&lt;=24,Assumptions!$B$23,Assumptions!$B$24))),0)</f>
        <v/>
      </c>
      <c r="O3" s="8">
        <f>ROUND(N3*(1+IF(O2&lt;=12,Assumptions!$B$22,IF(O2&lt;=24,Assumptions!$B$23,Assumptions!$B$24))),0)</f>
        <v/>
      </c>
      <c r="P3" s="8">
        <f>ROUND(O3*(1+IF(P2&lt;=12,Assumptions!$B$22,IF(P2&lt;=24,Assumptions!$B$23,Assumptions!$B$24))),0)</f>
        <v/>
      </c>
      <c r="Q3" s="8">
        <f>ROUND(P3*(1+IF(Q2&lt;=12,Assumptions!$B$22,IF(Q2&lt;=24,Assumptions!$B$23,Assumptions!$B$24))),0)</f>
        <v/>
      </c>
      <c r="R3" s="8">
        <f>ROUND(Q3*(1+IF(R2&lt;=12,Assumptions!$B$22,IF(R2&lt;=24,Assumptions!$B$23,Assumptions!$B$24))),0)</f>
        <v/>
      </c>
      <c r="S3" s="8">
        <f>ROUND(R3*(1+IF(S2&lt;=12,Assumptions!$B$22,IF(S2&lt;=24,Assumptions!$B$23,Assumptions!$B$24))),0)</f>
        <v/>
      </c>
      <c r="T3" s="8">
        <f>ROUND(S3*(1+IF(T2&lt;=12,Assumptions!$B$22,IF(T2&lt;=24,Assumptions!$B$23,Assumptions!$B$24))),0)</f>
        <v/>
      </c>
      <c r="U3" s="8">
        <f>ROUND(T3*(1+IF(U2&lt;=12,Assumptions!$B$22,IF(U2&lt;=24,Assumptions!$B$23,Assumptions!$B$24))),0)</f>
        <v/>
      </c>
      <c r="V3" s="8">
        <f>ROUND(U3*(1+IF(V2&lt;=12,Assumptions!$B$22,IF(V2&lt;=24,Assumptions!$B$23,Assumptions!$B$24))),0)</f>
        <v/>
      </c>
      <c r="W3" s="8">
        <f>ROUND(V3*(1+IF(W2&lt;=12,Assumptions!$B$22,IF(W2&lt;=24,Assumptions!$B$23,Assumptions!$B$24))),0)</f>
        <v/>
      </c>
      <c r="X3" s="8">
        <f>ROUND(W3*(1+IF(X2&lt;=12,Assumptions!$B$22,IF(X2&lt;=24,Assumptions!$B$23,Assumptions!$B$24))),0)</f>
        <v/>
      </c>
      <c r="Y3" s="8">
        <f>ROUND(X3*(1+IF(Y2&lt;=12,Assumptions!$B$22,IF(Y2&lt;=24,Assumptions!$B$23,Assumptions!$B$24))),0)</f>
        <v/>
      </c>
      <c r="Z3" s="8">
        <f>ROUND(Y3*(1+IF(Z2&lt;=12,Assumptions!$B$22,IF(Z2&lt;=24,Assumptions!$B$23,Assumptions!$B$24))),0)</f>
        <v/>
      </c>
      <c r="AA3" s="8">
        <f>ROUND(Z3*(1+IF(AA2&lt;=12,Assumptions!$B$22,IF(AA2&lt;=24,Assumptions!$B$23,Assumptions!$B$24))),0)</f>
        <v/>
      </c>
      <c r="AB3" s="8">
        <f>ROUND(AA3*(1+IF(AB2&lt;=12,Assumptions!$B$22,IF(AB2&lt;=24,Assumptions!$B$23,Assumptions!$B$24))),0)</f>
        <v/>
      </c>
      <c r="AC3" s="8">
        <f>ROUND(AB3*(1+IF(AC2&lt;=12,Assumptions!$B$22,IF(AC2&lt;=24,Assumptions!$B$23,Assumptions!$B$24))),0)</f>
        <v/>
      </c>
      <c r="AD3" s="8">
        <f>ROUND(AC3*(1+IF(AD2&lt;=12,Assumptions!$B$22,IF(AD2&lt;=24,Assumptions!$B$23,Assumptions!$B$24))),0)</f>
        <v/>
      </c>
      <c r="AE3" s="8">
        <f>ROUND(AD3*(1+IF(AE2&lt;=12,Assumptions!$B$22,IF(AE2&lt;=24,Assumptions!$B$23,Assumptions!$B$24))),0)</f>
        <v/>
      </c>
      <c r="AF3" s="8">
        <f>ROUND(AE3*(1+IF(AF2&lt;=12,Assumptions!$B$22,IF(AF2&lt;=24,Assumptions!$B$23,Assumptions!$B$24))),0)</f>
        <v/>
      </c>
      <c r="AG3" s="8">
        <f>ROUND(AF3*(1+IF(AG2&lt;=12,Assumptions!$B$22,IF(AG2&lt;=24,Assumptions!$B$23,Assumptions!$B$24))),0)</f>
        <v/>
      </c>
      <c r="AH3" s="8">
        <f>ROUND(AG3*(1+IF(AH2&lt;=12,Assumptions!$B$22,IF(AH2&lt;=24,Assumptions!$B$23,Assumptions!$B$24))),0)</f>
        <v/>
      </c>
      <c r="AI3" s="8">
        <f>ROUND(AH3*(1+IF(AI2&lt;=12,Assumptions!$B$22,IF(AI2&lt;=24,Assumptions!$B$23,Assumptions!$B$24))),0)</f>
        <v/>
      </c>
      <c r="AJ3" s="8">
        <f>ROUND(AI3*(1+IF(AJ2&lt;=12,Assumptions!$B$22,IF(AJ2&lt;=24,Assumptions!$B$23,Assumptions!$B$24))),0)</f>
        <v/>
      </c>
      <c r="AK3" s="8">
        <f>ROUND(AJ3*(1+IF(AK2&lt;=12,Assumptions!$B$22,IF(AK2&lt;=24,Assumptions!$B$23,Assumptions!$B$24))),0)</f>
        <v/>
      </c>
    </row>
    <row r="4">
      <c r="A4" s="6" t="inlineStr">
        <is>
          <t>New paying</t>
        </is>
      </c>
      <c r="B4" s="8">
        <f>ROUND(B3*Assumptions!$B$25,0)</f>
        <v/>
      </c>
      <c r="C4" s="8">
        <f>ROUND(C3*Assumptions!$B$25,0)</f>
        <v/>
      </c>
      <c r="D4" s="8">
        <f>ROUND(D3*Assumptions!$B$25,0)</f>
        <v/>
      </c>
      <c r="E4" s="8">
        <f>ROUND(E3*Assumptions!$B$25,0)</f>
        <v/>
      </c>
      <c r="F4" s="8">
        <f>ROUND(F3*Assumptions!$B$25,0)</f>
        <v/>
      </c>
      <c r="G4" s="8">
        <f>ROUND(G3*Assumptions!$B$25,0)</f>
        <v/>
      </c>
      <c r="H4" s="8">
        <f>ROUND(H3*Assumptions!$B$25,0)</f>
        <v/>
      </c>
      <c r="I4" s="8">
        <f>ROUND(I3*Assumptions!$B$25,0)</f>
        <v/>
      </c>
      <c r="J4" s="8">
        <f>ROUND(J3*Assumptions!$B$25,0)</f>
        <v/>
      </c>
      <c r="K4" s="8">
        <f>ROUND(K3*Assumptions!$B$25,0)</f>
        <v/>
      </c>
      <c r="L4" s="8">
        <f>ROUND(L3*Assumptions!$B$25,0)</f>
        <v/>
      </c>
      <c r="M4" s="8">
        <f>ROUND(M3*Assumptions!$B$25,0)</f>
        <v/>
      </c>
      <c r="N4" s="8">
        <f>ROUND(N3*Assumptions!$B$25,0)</f>
        <v/>
      </c>
      <c r="O4" s="8">
        <f>ROUND(O3*Assumptions!$B$25,0)</f>
        <v/>
      </c>
      <c r="P4" s="8">
        <f>ROUND(P3*Assumptions!$B$25,0)</f>
        <v/>
      </c>
      <c r="Q4" s="8">
        <f>ROUND(Q3*Assumptions!$B$25,0)</f>
        <v/>
      </c>
      <c r="R4" s="8">
        <f>ROUND(R3*Assumptions!$B$25,0)</f>
        <v/>
      </c>
      <c r="S4" s="8">
        <f>ROUND(S3*Assumptions!$B$25,0)</f>
        <v/>
      </c>
      <c r="T4" s="8">
        <f>ROUND(T3*Assumptions!$B$25,0)</f>
        <v/>
      </c>
      <c r="U4" s="8">
        <f>ROUND(U3*Assumptions!$B$25,0)</f>
        <v/>
      </c>
      <c r="V4" s="8">
        <f>ROUND(V3*Assumptions!$B$25,0)</f>
        <v/>
      </c>
      <c r="W4" s="8">
        <f>ROUND(W3*Assumptions!$B$25,0)</f>
        <v/>
      </c>
      <c r="X4" s="8">
        <f>ROUND(X3*Assumptions!$B$25,0)</f>
        <v/>
      </c>
      <c r="Y4" s="8">
        <f>ROUND(Y3*Assumptions!$B$25,0)</f>
        <v/>
      </c>
      <c r="Z4" s="8">
        <f>ROUND(Z3*Assumptions!$B$25,0)</f>
        <v/>
      </c>
      <c r="AA4" s="8">
        <f>ROUND(AA3*Assumptions!$B$25,0)</f>
        <v/>
      </c>
      <c r="AB4" s="8">
        <f>ROUND(AB3*Assumptions!$B$25,0)</f>
        <v/>
      </c>
      <c r="AC4" s="8">
        <f>ROUND(AC3*Assumptions!$B$25,0)</f>
        <v/>
      </c>
      <c r="AD4" s="8">
        <f>ROUND(AD3*Assumptions!$B$25,0)</f>
        <v/>
      </c>
      <c r="AE4" s="8">
        <f>ROUND(AE3*Assumptions!$B$25,0)</f>
        <v/>
      </c>
      <c r="AF4" s="8">
        <f>ROUND(AF3*Assumptions!$B$25,0)</f>
        <v/>
      </c>
      <c r="AG4" s="8">
        <f>ROUND(AG3*Assumptions!$B$25,0)</f>
        <v/>
      </c>
      <c r="AH4" s="8">
        <f>ROUND(AH3*Assumptions!$B$25,0)</f>
        <v/>
      </c>
      <c r="AI4" s="8">
        <f>ROUND(AI3*Assumptions!$B$25,0)</f>
        <v/>
      </c>
      <c r="AJ4" s="8">
        <f>ROUND(AJ3*Assumptions!$B$25,0)</f>
        <v/>
      </c>
      <c r="AK4" s="8">
        <f>ROUND(AK3*Assumptions!$B$25,0)</f>
        <v/>
      </c>
    </row>
    <row r="5">
      <c r="A5" s="6" t="inlineStr">
        <is>
          <t>Churned</t>
        </is>
      </c>
      <c r="B5" s="8" t="n">
        <v>0</v>
      </c>
      <c r="C5" s="8">
        <f>ROUND(B6*Assumptions!$B$26,0)</f>
        <v/>
      </c>
      <c r="D5" s="8">
        <f>ROUND(C6*Assumptions!$B$26,0)</f>
        <v/>
      </c>
      <c r="E5" s="8">
        <f>ROUND(D6*Assumptions!$B$26,0)</f>
        <v/>
      </c>
      <c r="F5" s="8">
        <f>ROUND(E6*Assumptions!$B$26,0)</f>
        <v/>
      </c>
      <c r="G5" s="8">
        <f>ROUND(F6*Assumptions!$B$26,0)</f>
        <v/>
      </c>
      <c r="H5" s="8">
        <f>ROUND(G6*Assumptions!$B$26,0)</f>
        <v/>
      </c>
      <c r="I5" s="8">
        <f>ROUND(H6*Assumptions!$B$26,0)</f>
        <v/>
      </c>
      <c r="J5" s="8">
        <f>ROUND(I6*Assumptions!$B$26,0)</f>
        <v/>
      </c>
      <c r="K5" s="8">
        <f>ROUND(J6*Assumptions!$B$26,0)</f>
        <v/>
      </c>
      <c r="L5" s="8">
        <f>ROUND(K6*Assumptions!$B$26,0)</f>
        <v/>
      </c>
      <c r="M5" s="8">
        <f>ROUND(L6*Assumptions!$B$26,0)</f>
        <v/>
      </c>
      <c r="N5" s="8">
        <f>ROUND(M6*Assumptions!$B$26,0)</f>
        <v/>
      </c>
      <c r="O5" s="8">
        <f>ROUND(N6*Assumptions!$B$26,0)</f>
        <v/>
      </c>
      <c r="P5" s="8">
        <f>ROUND(O6*Assumptions!$B$26,0)</f>
        <v/>
      </c>
      <c r="Q5" s="8">
        <f>ROUND(P6*Assumptions!$B$26,0)</f>
        <v/>
      </c>
      <c r="R5" s="8">
        <f>ROUND(Q6*Assumptions!$B$26,0)</f>
        <v/>
      </c>
      <c r="S5" s="8">
        <f>ROUND(R6*Assumptions!$B$26,0)</f>
        <v/>
      </c>
      <c r="T5" s="8">
        <f>ROUND(S6*Assumptions!$B$26,0)</f>
        <v/>
      </c>
      <c r="U5" s="8">
        <f>ROUND(T6*Assumptions!$B$26,0)</f>
        <v/>
      </c>
      <c r="V5" s="8">
        <f>ROUND(U6*Assumptions!$B$26,0)</f>
        <v/>
      </c>
      <c r="W5" s="8">
        <f>ROUND(V6*Assumptions!$B$26,0)</f>
        <v/>
      </c>
      <c r="X5" s="8">
        <f>ROUND(W6*Assumptions!$B$26,0)</f>
        <v/>
      </c>
      <c r="Y5" s="8">
        <f>ROUND(X6*Assumptions!$B$26,0)</f>
        <v/>
      </c>
      <c r="Z5" s="8">
        <f>ROUND(Y6*Assumptions!$B$26,0)</f>
        <v/>
      </c>
      <c r="AA5" s="8">
        <f>ROUND(Z6*Assumptions!$B$26,0)</f>
        <v/>
      </c>
      <c r="AB5" s="8">
        <f>ROUND(AA6*Assumptions!$B$26,0)</f>
        <v/>
      </c>
      <c r="AC5" s="8">
        <f>ROUND(AB6*Assumptions!$B$26,0)</f>
        <v/>
      </c>
      <c r="AD5" s="8">
        <f>ROUND(AC6*Assumptions!$B$26,0)</f>
        <v/>
      </c>
      <c r="AE5" s="8">
        <f>ROUND(AD6*Assumptions!$B$26,0)</f>
        <v/>
      </c>
      <c r="AF5" s="8">
        <f>ROUND(AE6*Assumptions!$B$26,0)</f>
        <v/>
      </c>
      <c r="AG5" s="8">
        <f>ROUND(AF6*Assumptions!$B$26,0)</f>
        <v/>
      </c>
      <c r="AH5" s="8">
        <f>ROUND(AG6*Assumptions!$B$26,0)</f>
        <v/>
      </c>
      <c r="AI5" s="8">
        <f>ROUND(AH6*Assumptions!$B$26,0)</f>
        <v/>
      </c>
      <c r="AJ5" s="8">
        <f>ROUND(AI6*Assumptions!$B$26,0)</f>
        <v/>
      </c>
      <c r="AK5" s="8">
        <f>ROUND(AJ6*Assumptions!$B$26,0)</f>
        <v/>
      </c>
    </row>
    <row r="6">
      <c r="A6" s="4" t="inlineStr">
        <is>
          <t>Ending paying brands</t>
        </is>
      </c>
      <c r="B6" s="17">
        <f>B4</f>
        <v/>
      </c>
      <c r="C6" s="17">
        <f>B6+C4-C5</f>
        <v/>
      </c>
      <c r="D6" s="17">
        <f>C6+D4-D5</f>
        <v/>
      </c>
      <c r="E6" s="17">
        <f>D6+E4-E5</f>
        <v/>
      </c>
      <c r="F6" s="17">
        <f>E6+F4-F5</f>
        <v/>
      </c>
      <c r="G6" s="17">
        <f>F6+G4-G5</f>
        <v/>
      </c>
      <c r="H6" s="17">
        <f>G6+H4-H5</f>
        <v/>
      </c>
      <c r="I6" s="17">
        <f>H6+I4-I5</f>
        <v/>
      </c>
      <c r="J6" s="17">
        <f>I6+J4-J5</f>
        <v/>
      </c>
      <c r="K6" s="17">
        <f>J6+K4-K5</f>
        <v/>
      </c>
      <c r="L6" s="17">
        <f>K6+L4-L5</f>
        <v/>
      </c>
      <c r="M6" s="17">
        <f>L6+M4-M5</f>
        <v/>
      </c>
      <c r="N6" s="17">
        <f>M6+N4-N5</f>
        <v/>
      </c>
      <c r="O6" s="17">
        <f>N6+O4-O5</f>
        <v/>
      </c>
      <c r="P6" s="17">
        <f>O6+P4-P5</f>
        <v/>
      </c>
      <c r="Q6" s="17">
        <f>P6+Q4-Q5</f>
        <v/>
      </c>
      <c r="R6" s="17">
        <f>Q6+R4-R5</f>
        <v/>
      </c>
      <c r="S6" s="17">
        <f>R6+S4-S5</f>
        <v/>
      </c>
      <c r="T6" s="17">
        <f>S6+T4-T5</f>
        <v/>
      </c>
      <c r="U6" s="17">
        <f>T6+U4-U5</f>
        <v/>
      </c>
      <c r="V6" s="17">
        <f>U6+V4-V5</f>
        <v/>
      </c>
      <c r="W6" s="17">
        <f>V6+W4-W5</f>
        <v/>
      </c>
      <c r="X6" s="17">
        <f>W6+X4-X5</f>
        <v/>
      </c>
      <c r="Y6" s="17">
        <f>X6+Y4-Y5</f>
        <v/>
      </c>
      <c r="Z6" s="17">
        <f>Y6+Z4-Z5</f>
        <v/>
      </c>
      <c r="AA6" s="17">
        <f>Z6+AA4-AA5</f>
        <v/>
      </c>
      <c r="AB6" s="17">
        <f>AA6+AB4-AB5</f>
        <v/>
      </c>
      <c r="AC6" s="17">
        <f>AB6+AC4-AC5</f>
        <v/>
      </c>
      <c r="AD6" s="17">
        <f>AC6+AD4-AD5</f>
        <v/>
      </c>
      <c r="AE6" s="17">
        <f>AD6+AE4-AE5</f>
        <v/>
      </c>
      <c r="AF6" s="17">
        <f>AE6+AF4-AF5</f>
        <v/>
      </c>
      <c r="AG6" s="17">
        <f>AF6+AG4-AG5</f>
        <v/>
      </c>
      <c r="AH6" s="17">
        <f>AG6+AH4-AH5</f>
        <v/>
      </c>
      <c r="AI6" s="17">
        <f>AH6+AI4-AI5</f>
        <v/>
      </c>
      <c r="AJ6" s="17">
        <f>AI6+AJ4-AJ5</f>
        <v/>
      </c>
      <c r="AK6" s="17">
        <f>AJ6+AK4-AK5</f>
        <v/>
      </c>
    </row>
    <row r="7">
      <c r="A7" s="6" t="inlineStr">
        <is>
          <t>— Starter</t>
        </is>
      </c>
      <c r="B7" s="8">
        <f>ROUND(B6*Assumptions!$B$15,0)</f>
        <v/>
      </c>
      <c r="C7" s="8">
        <f>ROUND(C6*Assumptions!$B$15,0)</f>
        <v/>
      </c>
      <c r="D7" s="8">
        <f>ROUND(D6*Assumptions!$B$15,0)</f>
        <v/>
      </c>
      <c r="E7" s="8">
        <f>ROUND(E6*Assumptions!$B$15,0)</f>
        <v/>
      </c>
      <c r="F7" s="8">
        <f>ROUND(F6*Assumptions!$B$15,0)</f>
        <v/>
      </c>
      <c r="G7" s="8">
        <f>ROUND(G6*Assumptions!$B$15,0)</f>
        <v/>
      </c>
      <c r="H7" s="8">
        <f>ROUND(H6*Assumptions!$B$15,0)</f>
        <v/>
      </c>
      <c r="I7" s="8">
        <f>ROUND(I6*Assumptions!$B$15,0)</f>
        <v/>
      </c>
      <c r="J7" s="8">
        <f>ROUND(J6*Assumptions!$B$15,0)</f>
        <v/>
      </c>
      <c r="K7" s="8">
        <f>ROUND(K6*Assumptions!$B$15,0)</f>
        <v/>
      </c>
      <c r="L7" s="8">
        <f>ROUND(L6*Assumptions!$B$15,0)</f>
        <v/>
      </c>
      <c r="M7" s="8">
        <f>ROUND(M6*Assumptions!$B$15,0)</f>
        <v/>
      </c>
      <c r="N7" s="8">
        <f>ROUND(N6*Assumptions!$B$15,0)</f>
        <v/>
      </c>
      <c r="O7" s="8">
        <f>ROUND(O6*Assumptions!$B$15,0)</f>
        <v/>
      </c>
      <c r="P7" s="8">
        <f>ROUND(P6*Assumptions!$B$15,0)</f>
        <v/>
      </c>
      <c r="Q7" s="8">
        <f>ROUND(Q6*Assumptions!$B$15,0)</f>
        <v/>
      </c>
      <c r="R7" s="8">
        <f>ROUND(R6*Assumptions!$B$15,0)</f>
        <v/>
      </c>
      <c r="S7" s="8">
        <f>ROUND(S6*Assumptions!$B$15,0)</f>
        <v/>
      </c>
      <c r="T7" s="8">
        <f>ROUND(T6*Assumptions!$B$15,0)</f>
        <v/>
      </c>
      <c r="U7" s="8">
        <f>ROUND(U6*Assumptions!$B$15,0)</f>
        <v/>
      </c>
      <c r="V7" s="8">
        <f>ROUND(V6*Assumptions!$B$15,0)</f>
        <v/>
      </c>
      <c r="W7" s="8">
        <f>ROUND(W6*Assumptions!$B$15,0)</f>
        <v/>
      </c>
      <c r="X7" s="8">
        <f>ROUND(X6*Assumptions!$B$15,0)</f>
        <v/>
      </c>
      <c r="Y7" s="8">
        <f>ROUND(Y6*Assumptions!$B$15,0)</f>
        <v/>
      </c>
      <c r="Z7" s="8">
        <f>ROUND(Z6*Assumptions!$B$15,0)</f>
        <v/>
      </c>
      <c r="AA7" s="8">
        <f>ROUND(AA6*Assumptions!$B$15,0)</f>
        <v/>
      </c>
      <c r="AB7" s="8">
        <f>ROUND(AB6*Assumptions!$B$15,0)</f>
        <v/>
      </c>
      <c r="AC7" s="8">
        <f>ROUND(AC6*Assumptions!$B$15,0)</f>
        <v/>
      </c>
      <c r="AD7" s="8">
        <f>ROUND(AD6*Assumptions!$B$15,0)</f>
        <v/>
      </c>
      <c r="AE7" s="8">
        <f>ROUND(AE6*Assumptions!$B$15,0)</f>
        <v/>
      </c>
      <c r="AF7" s="8">
        <f>ROUND(AF6*Assumptions!$B$15,0)</f>
        <v/>
      </c>
      <c r="AG7" s="8">
        <f>ROUND(AG6*Assumptions!$B$15,0)</f>
        <v/>
      </c>
      <c r="AH7" s="8">
        <f>ROUND(AH6*Assumptions!$B$15,0)</f>
        <v/>
      </c>
      <c r="AI7" s="8">
        <f>ROUND(AI6*Assumptions!$B$15,0)</f>
        <v/>
      </c>
      <c r="AJ7" s="8">
        <f>ROUND(AJ6*Assumptions!$B$15,0)</f>
        <v/>
      </c>
      <c r="AK7" s="8">
        <f>ROUND(AK6*Assumptions!$B$15,0)</f>
        <v/>
      </c>
    </row>
    <row r="8">
      <c r="A8" s="6" t="inlineStr">
        <is>
          <t>— Pro</t>
        </is>
      </c>
      <c r="B8" s="8">
        <f>ROUND(B6*Assumptions!$B$16,0)</f>
        <v/>
      </c>
      <c r="C8" s="8">
        <f>ROUND(C6*Assumptions!$B$16,0)</f>
        <v/>
      </c>
      <c r="D8" s="8">
        <f>ROUND(D6*Assumptions!$B$16,0)</f>
        <v/>
      </c>
      <c r="E8" s="8">
        <f>ROUND(E6*Assumptions!$B$16,0)</f>
        <v/>
      </c>
      <c r="F8" s="8">
        <f>ROUND(F6*Assumptions!$B$16,0)</f>
        <v/>
      </c>
      <c r="G8" s="8">
        <f>ROUND(G6*Assumptions!$B$16,0)</f>
        <v/>
      </c>
      <c r="H8" s="8">
        <f>ROUND(H6*Assumptions!$B$16,0)</f>
        <v/>
      </c>
      <c r="I8" s="8">
        <f>ROUND(I6*Assumptions!$B$16,0)</f>
        <v/>
      </c>
      <c r="J8" s="8">
        <f>ROUND(J6*Assumptions!$B$16,0)</f>
        <v/>
      </c>
      <c r="K8" s="8">
        <f>ROUND(K6*Assumptions!$B$16,0)</f>
        <v/>
      </c>
      <c r="L8" s="8">
        <f>ROUND(L6*Assumptions!$B$16,0)</f>
        <v/>
      </c>
      <c r="M8" s="8">
        <f>ROUND(M6*Assumptions!$B$16,0)</f>
        <v/>
      </c>
      <c r="N8" s="8">
        <f>ROUND(N6*Assumptions!$B$16,0)</f>
        <v/>
      </c>
      <c r="O8" s="8">
        <f>ROUND(O6*Assumptions!$B$16,0)</f>
        <v/>
      </c>
      <c r="P8" s="8">
        <f>ROUND(P6*Assumptions!$B$16,0)</f>
        <v/>
      </c>
      <c r="Q8" s="8">
        <f>ROUND(Q6*Assumptions!$B$16,0)</f>
        <v/>
      </c>
      <c r="R8" s="8">
        <f>ROUND(R6*Assumptions!$B$16,0)</f>
        <v/>
      </c>
      <c r="S8" s="8">
        <f>ROUND(S6*Assumptions!$B$16,0)</f>
        <v/>
      </c>
      <c r="T8" s="8">
        <f>ROUND(T6*Assumptions!$B$16,0)</f>
        <v/>
      </c>
      <c r="U8" s="8">
        <f>ROUND(U6*Assumptions!$B$16,0)</f>
        <v/>
      </c>
      <c r="V8" s="8">
        <f>ROUND(V6*Assumptions!$B$16,0)</f>
        <v/>
      </c>
      <c r="W8" s="8">
        <f>ROUND(W6*Assumptions!$B$16,0)</f>
        <v/>
      </c>
      <c r="X8" s="8">
        <f>ROUND(X6*Assumptions!$B$16,0)</f>
        <v/>
      </c>
      <c r="Y8" s="8">
        <f>ROUND(Y6*Assumptions!$B$16,0)</f>
        <v/>
      </c>
      <c r="Z8" s="8">
        <f>ROUND(Z6*Assumptions!$B$16,0)</f>
        <v/>
      </c>
      <c r="AA8" s="8">
        <f>ROUND(AA6*Assumptions!$B$16,0)</f>
        <v/>
      </c>
      <c r="AB8" s="8">
        <f>ROUND(AB6*Assumptions!$B$16,0)</f>
        <v/>
      </c>
      <c r="AC8" s="8">
        <f>ROUND(AC6*Assumptions!$B$16,0)</f>
        <v/>
      </c>
      <c r="AD8" s="8">
        <f>ROUND(AD6*Assumptions!$B$16,0)</f>
        <v/>
      </c>
      <c r="AE8" s="8">
        <f>ROUND(AE6*Assumptions!$B$16,0)</f>
        <v/>
      </c>
      <c r="AF8" s="8">
        <f>ROUND(AF6*Assumptions!$B$16,0)</f>
        <v/>
      </c>
      <c r="AG8" s="8">
        <f>ROUND(AG6*Assumptions!$B$16,0)</f>
        <v/>
      </c>
      <c r="AH8" s="8">
        <f>ROUND(AH6*Assumptions!$B$16,0)</f>
        <v/>
      </c>
      <c r="AI8" s="8">
        <f>ROUND(AI6*Assumptions!$B$16,0)</f>
        <v/>
      </c>
      <c r="AJ8" s="8">
        <f>ROUND(AJ6*Assumptions!$B$16,0)</f>
        <v/>
      </c>
      <c r="AK8" s="8">
        <f>ROUND(AK6*Assumptions!$B$16,0)</f>
        <v/>
      </c>
    </row>
    <row r="9">
      <c r="A9" s="6" t="inlineStr">
        <is>
          <t>— Agency</t>
        </is>
      </c>
      <c r="B9" s="8">
        <f>ROUND(B6*Assumptions!$B$17,0)</f>
        <v/>
      </c>
      <c r="C9" s="8">
        <f>ROUND(C6*Assumptions!$B$17,0)</f>
        <v/>
      </c>
      <c r="D9" s="8">
        <f>ROUND(D6*Assumptions!$B$17,0)</f>
        <v/>
      </c>
      <c r="E9" s="8">
        <f>ROUND(E6*Assumptions!$B$17,0)</f>
        <v/>
      </c>
      <c r="F9" s="8">
        <f>ROUND(F6*Assumptions!$B$17,0)</f>
        <v/>
      </c>
      <c r="G9" s="8">
        <f>ROUND(G6*Assumptions!$B$17,0)</f>
        <v/>
      </c>
      <c r="H9" s="8">
        <f>ROUND(H6*Assumptions!$B$17,0)</f>
        <v/>
      </c>
      <c r="I9" s="8">
        <f>ROUND(I6*Assumptions!$B$17,0)</f>
        <v/>
      </c>
      <c r="J9" s="8">
        <f>ROUND(J6*Assumptions!$B$17,0)</f>
        <v/>
      </c>
      <c r="K9" s="8">
        <f>ROUND(K6*Assumptions!$B$17,0)</f>
        <v/>
      </c>
      <c r="L9" s="8">
        <f>ROUND(L6*Assumptions!$B$17,0)</f>
        <v/>
      </c>
      <c r="M9" s="8">
        <f>ROUND(M6*Assumptions!$B$17,0)</f>
        <v/>
      </c>
      <c r="N9" s="8">
        <f>ROUND(N6*Assumptions!$B$17,0)</f>
        <v/>
      </c>
      <c r="O9" s="8">
        <f>ROUND(O6*Assumptions!$B$17,0)</f>
        <v/>
      </c>
      <c r="P9" s="8">
        <f>ROUND(P6*Assumptions!$B$17,0)</f>
        <v/>
      </c>
      <c r="Q9" s="8">
        <f>ROUND(Q6*Assumptions!$B$17,0)</f>
        <v/>
      </c>
      <c r="R9" s="8">
        <f>ROUND(R6*Assumptions!$B$17,0)</f>
        <v/>
      </c>
      <c r="S9" s="8">
        <f>ROUND(S6*Assumptions!$B$17,0)</f>
        <v/>
      </c>
      <c r="T9" s="8">
        <f>ROUND(T6*Assumptions!$B$17,0)</f>
        <v/>
      </c>
      <c r="U9" s="8">
        <f>ROUND(U6*Assumptions!$B$17,0)</f>
        <v/>
      </c>
      <c r="V9" s="8">
        <f>ROUND(V6*Assumptions!$B$17,0)</f>
        <v/>
      </c>
      <c r="W9" s="8">
        <f>ROUND(W6*Assumptions!$B$17,0)</f>
        <v/>
      </c>
      <c r="X9" s="8">
        <f>ROUND(X6*Assumptions!$B$17,0)</f>
        <v/>
      </c>
      <c r="Y9" s="8">
        <f>ROUND(Y6*Assumptions!$B$17,0)</f>
        <v/>
      </c>
      <c r="Z9" s="8">
        <f>ROUND(Z6*Assumptions!$B$17,0)</f>
        <v/>
      </c>
      <c r="AA9" s="8">
        <f>ROUND(AA6*Assumptions!$B$17,0)</f>
        <v/>
      </c>
      <c r="AB9" s="8">
        <f>ROUND(AB6*Assumptions!$B$17,0)</f>
        <v/>
      </c>
      <c r="AC9" s="8">
        <f>ROUND(AC6*Assumptions!$B$17,0)</f>
        <v/>
      </c>
      <c r="AD9" s="8">
        <f>ROUND(AD6*Assumptions!$B$17,0)</f>
        <v/>
      </c>
      <c r="AE9" s="8">
        <f>ROUND(AE6*Assumptions!$B$17,0)</f>
        <v/>
      </c>
      <c r="AF9" s="8">
        <f>ROUND(AF6*Assumptions!$B$17,0)</f>
        <v/>
      </c>
      <c r="AG9" s="8">
        <f>ROUND(AG6*Assumptions!$B$17,0)</f>
        <v/>
      </c>
      <c r="AH9" s="8">
        <f>ROUND(AH6*Assumptions!$B$17,0)</f>
        <v/>
      </c>
      <c r="AI9" s="8">
        <f>ROUND(AI6*Assumptions!$B$17,0)</f>
        <v/>
      </c>
      <c r="AJ9" s="8">
        <f>ROUND(AJ6*Assumptions!$B$17,0)</f>
        <v/>
      </c>
      <c r="AK9" s="8">
        <f>ROUND(AK6*Assumptions!$B$17,0)</f>
        <v/>
      </c>
    </row>
    <row r="10">
      <c r="A10" s="6" t="inlineStr">
        <is>
          <t>— Enterprise</t>
        </is>
      </c>
      <c r="B10" s="8">
        <f>B6-B7-B8-B9</f>
        <v/>
      </c>
      <c r="C10" s="8">
        <f>C6-C7-C8-C9</f>
        <v/>
      </c>
      <c r="D10" s="8">
        <f>D6-D7-D8-D9</f>
        <v/>
      </c>
      <c r="E10" s="8">
        <f>E6-E7-E8-E9</f>
        <v/>
      </c>
      <c r="F10" s="8">
        <f>F6-F7-F8-F9</f>
        <v/>
      </c>
      <c r="G10" s="8">
        <f>G6-G7-G8-G9</f>
        <v/>
      </c>
      <c r="H10" s="8">
        <f>H6-H7-H8-H9</f>
        <v/>
      </c>
      <c r="I10" s="8">
        <f>I6-I7-I8-I9</f>
        <v/>
      </c>
      <c r="J10" s="8">
        <f>J6-J7-J8-J9</f>
        <v/>
      </c>
      <c r="K10" s="8">
        <f>K6-K7-K8-K9</f>
        <v/>
      </c>
      <c r="L10" s="8">
        <f>L6-L7-L8-L9</f>
        <v/>
      </c>
      <c r="M10" s="8">
        <f>M6-M7-M8-M9</f>
        <v/>
      </c>
      <c r="N10" s="8">
        <f>N6-N7-N8-N9</f>
        <v/>
      </c>
      <c r="O10" s="8">
        <f>O6-O7-O8-O9</f>
        <v/>
      </c>
      <c r="P10" s="8">
        <f>P6-P7-P8-P9</f>
        <v/>
      </c>
      <c r="Q10" s="8">
        <f>Q6-Q7-Q8-Q9</f>
        <v/>
      </c>
      <c r="R10" s="8">
        <f>R6-R7-R8-R9</f>
        <v/>
      </c>
      <c r="S10" s="8">
        <f>S6-S7-S8-S9</f>
        <v/>
      </c>
      <c r="T10" s="8">
        <f>T6-T7-T8-T9</f>
        <v/>
      </c>
      <c r="U10" s="8">
        <f>U6-U7-U8-U9</f>
        <v/>
      </c>
      <c r="V10" s="8">
        <f>V6-V7-V8-V9</f>
        <v/>
      </c>
      <c r="W10" s="8">
        <f>W6-W7-W8-W9</f>
        <v/>
      </c>
      <c r="X10" s="8">
        <f>X6-X7-X8-X9</f>
        <v/>
      </c>
      <c r="Y10" s="8">
        <f>Y6-Y7-Y8-Y9</f>
        <v/>
      </c>
      <c r="Z10" s="8">
        <f>Z6-Z7-Z8-Z9</f>
        <v/>
      </c>
      <c r="AA10" s="8">
        <f>AA6-AA7-AA8-AA9</f>
        <v/>
      </c>
      <c r="AB10" s="8">
        <f>AB6-AB7-AB8-AB9</f>
        <v/>
      </c>
      <c r="AC10" s="8">
        <f>AC6-AC7-AC8-AC9</f>
        <v/>
      </c>
      <c r="AD10" s="8">
        <f>AD6-AD7-AD8-AD9</f>
        <v/>
      </c>
      <c r="AE10" s="8">
        <f>AE6-AE7-AE8-AE9</f>
        <v/>
      </c>
      <c r="AF10" s="8">
        <f>AF6-AF7-AF8-AF9</f>
        <v/>
      </c>
      <c r="AG10" s="8">
        <f>AG6-AG7-AG8-AG9</f>
        <v/>
      </c>
      <c r="AH10" s="8">
        <f>AH6-AH7-AH8-AH9</f>
        <v/>
      </c>
      <c r="AI10" s="8">
        <f>AI6-AI7-AI8-AI9</f>
        <v/>
      </c>
      <c r="AJ10" s="8">
        <f>AJ6-AJ7-AJ8-AJ9</f>
        <v/>
      </c>
      <c r="AK10" s="8">
        <f>AK6-AK7-AK8-AK9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SAR</t>
        </is>
      </c>
      <c r="B1" s="3" t="inlineStr">
        <is>
          <t>Oct-26</t>
        </is>
      </c>
      <c r="C1" s="3" t="inlineStr">
        <is>
          <t>Nov-26</t>
        </is>
      </c>
      <c r="D1" s="3" t="inlineStr">
        <is>
          <t>Dec-26</t>
        </is>
      </c>
      <c r="E1" s="3" t="inlineStr">
        <is>
          <t>Jan-27</t>
        </is>
      </c>
      <c r="F1" s="3" t="inlineStr">
        <is>
          <t>Feb-27</t>
        </is>
      </c>
      <c r="G1" s="3" t="inlineStr">
        <is>
          <t>Mar-27</t>
        </is>
      </c>
      <c r="H1" s="3" t="inlineStr">
        <is>
          <t>Apr-27</t>
        </is>
      </c>
      <c r="I1" s="3" t="inlineStr">
        <is>
          <t>May-27</t>
        </is>
      </c>
      <c r="J1" s="3" t="inlineStr">
        <is>
          <t>Jun-27</t>
        </is>
      </c>
      <c r="K1" s="3" t="inlineStr">
        <is>
          <t>Jul-27</t>
        </is>
      </c>
      <c r="L1" s="3" t="inlineStr">
        <is>
          <t>Aug-27</t>
        </is>
      </c>
      <c r="M1" s="3" t="inlineStr">
        <is>
          <t>Sep-27</t>
        </is>
      </c>
      <c r="N1" s="3" t="inlineStr">
        <is>
          <t>Oct-27</t>
        </is>
      </c>
      <c r="O1" s="3" t="inlineStr">
        <is>
          <t>Nov-27</t>
        </is>
      </c>
      <c r="P1" s="3" t="inlineStr">
        <is>
          <t>Dec-27</t>
        </is>
      </c>
      <c r="Q1" s="3" t="inlineStr">
        <is>
          <t>Jan-28</t>
        </is>
      </c>
      <c r="R1" s="3" t="inlineStr">
        <is>
          <t>Feb-28</t>
        </is>
      </c>
      <c r="S1" s="3" t="inlineStr">
        <is>
          <t>Mar-28</t>
        </is>
      </c>
      <c r="T1" s="3" t="inlineStr">
        <is>
          <t>Apr-28</t>
        </is>
      </c>
      <c r="U1" s="3" t="inlineStr">
        <is>
          <t>May-28</t>
        </is>
      </c>
      <c r="V1" s="3" t="inlineStr">
        <is>
          <t>Jun-28</t>
        </is>
      </c>
      <c r="W1" s="3" t="inlineStr">
        <is>
          <t>Jul-28</t>
        </is>
      </c>
      <c r="X1" s="3" t="inlineStr">
        <is>
          <t>Aug-28</t>
        </is>
      </c>
      <c r="Y1" s="3" t="inlineStr">
        <is>
          <t>Sep-28</t>
        </is>
      </c>
      <c r="Z1" s="3" t="inlineStr">
        <is>
          <t>Oct-28</t>
        </is>
      </c>
      <c r="AA1" s="3" t="inlineStr">
        <is>
          <t>Nov-28</t>
        </is>
      </c>
      <c r="AB1" s="3" t="inlineStr">
        <is>
          <t>Dec-28</t>
        </is>
      </c>
      <c r="AC1" s="3" t="inlineStr">
        <is>
          <t>Jan-29</t>
        </is>
      </c>
      <c r="AD1" s="3" t="inlineStr">
        <is>
          <t>Feb-29</t>
        </is>
      </c>
      <c r="AE1" s="3" t="inlineStr">
        <is>
          <t>Mar-29</t>
        </is>
      </c>
      <c r="AF1" s="3" t="inlineStr">
        <is>
          <t>Apr-29</t>
        </is>
      </c>
      <c r="AG1" s="3" t="inlineStr">
        <is>
          <t>May-29</t>
        </is>
      </c>
      <c r="AH1" s="3" t="inlineStr">
        <is>
          <t>Jun-29</t>
        </is>
      </c>
      <c r="AI1" s="3" t="inlineStr">
        <is>
          <t>Jul-29</t>
        </is>
      </c>
      <c r="AJ1" s="3" t="inlineStr">
        <is>
          <t>Aug-29</t>
        </is>
      </c>
      <c r="AK1" s="3" t="inlineStr">
        <is>
          <t>Sep-29</t>
        </is>
      </c>
      <c r="AL1" s="3" t="inlineStr">
        <is>
          <t>Year 1</t>
        </is>
      </c>
      <c r="AM1" s="3" t="inlineStr">
        <is>
          <t>Year 2</t>
        </is>
      </c>
      <c r="AN1" s="3" t="inlineStr">
        <is>
          <t>Year 3</t>
        </is>
      </c>
    </row>
    <row r="2">
      <c r="A2" t="inlineStr">
        <is>
          <t>Subscription revenue — Starter</t>
        </is>
      </c>
      <c r="B2" s="5">
        <f>Customers!B7*Assumptions!$B$6*(1-Assumptions!$B$11*Assumptions!$B$10)</f>
        <v/>
      </c>
      <c r="C2" s="5">
        <f>Customers!C7*Assumptions!$B$6*(1-Assumptions!$B$11*Assumptions!$B$10)</f>
        <v/>
      </c>
      <c r="D2" s="5">
        <f>Customers!D7*Assumptions!$B$6*(1-Assumptions!$B$11*Assumptions!$B$10)</f>
        <v/>
      </c>
      <c r="E2" s="5">
        <f>Customers!E7*Assumptions!$B$6*(1-Assumptions!$B$11*Assumptions!$B$10)</f>
        <v/>
      </c>
      <c r="F2" s="5">
        <f>Customers!F7*Assumptions!$B$6*(1-Assumptions!$B$11*Assumptions!$B$10)</f>
        <v/>
      </c>
      <c r="G2" s="5">
        <f>Customers!G7*Assumptions!$B$6*(1-Assumptions!$B$11*Assumptions!$B$10)</f>
        <v/>
      </c>
      <c r="H2" s="5">
        <f>Customers!H7*Assumptions!$B$6*(1-Assumptions!$B$11*Assumptions!$B$10)</f>
        <v/>
      </c>
      <c r="I2" s="5">
        <f>Customers!I7*Assumptions!$B$6*(1-Assumptions!$B$11*Assumptions!$B$10)</f>
        <v/>
      </c>
      <c r="J2" s="5">
        <f>Customers!J7*Assumptions!$B$6*(1-Assumptions!$B$11*Assumptions!$B$10)</f>
        <v/>
      </c>
      <c r="K2" s="5">
        <f>Customers!K7*Assumptions!$B$6*(1-Assumptions!$B$11*Assumptions!$B$10)</f>
        <v/>
      </c>
      <c r="L2" s="5">
        <f>Customers!L7*Assumptions!$B$6*(1-Assumptions!$B$11*Assumptions!$B$10)</f>
        <v/>
      </c>
      <c r="M2" s="5">
        <f>Customers!M7*Assumptions!$B$6*(1-Assumptions!$B$11*Assumptions!$B$10)</f>
        <v/>
      </c>
      <c r="N2" s="5">
        <f>Customers!N7*Assumptions!$B$6*(1-Assumptions!$B$11*Assumptions!$B$10)</f>
        <v/>
      </c>
      <c r="O2" s="5">
        <f>Customers!O7*Assumptions!$B$6*(1-Assumptions!$B$11*Assumptions!$B$10)</f>
        <v/>
      </c>
      <c r="P2" s="5">
        <f>Customers!P7*Assumptions!$B$6*(1-Assumptions!$B$11*Assumptions!$B$10)</f>
        <v/>
      </c>
      <c r="Q2" s="5">
        <f>Customers!Q7*Assumptions!$B$6*(1-Assumptions!$B$11*Assumptions!$B$10)</f>
        <v/>
      </c>
      <c r="R2" s="5">
        <f>Customers!R7*Assumptions!$B$6*(1-Assumptions!$B$11*Assumptions!$B$10)</f>
        <v/>
      </c>
      <c r="S2" s="5">
        <f>Customers!S7*Assumptions!$B$6*(1-Assumptions!$B$11*Assumptions!$B$10)</f>
        <v/>
      </c>
      <c r="T2" s="5">
        <f>Customers!T7*Assumptions!$B$6*(1-Assumptions!$B$11*Assumptions!$B$10)</f>
        <v/>
      </c>
      <c r="U2" s="5">
        <f>Customers!U7*Assumptions!$B$6*(1-Assumptions!$B$11*Assumptions!$B$10)</f>
        <v/>
      </c>
      <c r="V2" s="5">
        <f>Customers!V7*Assumptions!$B$6*(1-Assumptions!$B$11*Assumptions!$B$10)</f>
        <v/>
      </c>
      <c r="W2" s="5">
        <f>Customers!W7*Assumptions!$B$6*(1-Assumptions!$B$11*Assumptions!$B$10)</f>
        <v/>
      </c>
      <c r="X2" s="5">
        <f>Customers!X7*Assumptions!$B$6*(1-Assumptions!$B$11*Assumptions!$B$10)</f>
        <v/>
      </c>
      <c r="Y2" s="5">
        <f>Customers!Y7*Assumptions!$B$6*(1-Assumptions!$B$11*Assumptions!$B$10)</f>
        <v/>
      </c>
      <c r="Z2" s="5">
        <f>Customers!Z7*Assumptions!$B$6*(1-Assumptions!$B$11*Assumptions!$B$10)</f>
        <v/>
      </c>
      <c r="AA2" s="5">
        <f>Customers!AA7*Assumptions!$B$6*(1-Assumptions!$B$11*Assumptions!$B$10)</f>
        <v/>
      </c>
      <c r="AB2" s="5">
        <f>Customers!AB7*Assumptions!$B$6*(1-Assumptions!$B$11*Assumptions!$B$10)</f>
        <v/>
      </c>
      <c r="AC2" s="5">
        <f>Customers!AC7*Assumptions!$B$6*(1-Assumptions!$B$11*Assumptions!$B$10)</f>
        <v/>
      </c>
      <c r="AD2" s="5">
        <f>Customers!AD7*Assumptions!$B$6*(1-Assumptions!$B$11*Assumptions!$B$10)</f>
        <v/>
      </c>
      <c r="AE2" s="5">
        <f>Customers!AE7*Assumptions!$B$6*(1-Assumptions!$B$11*Assumptions!$B$10)</f>
        <v/>
      </c>
      <c r="AF2" s="5">
        <f>Customers!AF7*Assumptions!$B$6*(1-Assumptions!$B$11*Assumptions!$B$10)</f>
        <v/>
      </c>
      <c r="AG2" s="5">
        <f>Customers!AG7*Assumptions!$B$6*(1-Assumptions!$B$11*Assumptions!$B$10)</f>
        <v/>
      </c>
      <c r="AH2" s="5">
        <f>Customers!AH7*Assumptions!$B$6*(1-Assumptions!$B$11*Assumptions!$B$10)</f>
        <v/>
      </c>
      <c r="AI2" s="5">
        <f>Customers!AI7*Assumptions!$B$6*(1-Assumptions!$B$11*Assumptions!$B$10)</f>
        <v/>
      </c>
      <c r="AJ2" s="5">
        <f>Customers!AJ7*Assumptions!$B$6*(1-Assumptions!$B$11*Assumptions!$B$10)</f>
        <v/>
      </c>
      <c r="AK2" s="5">
        <f>Customers!AK7*Assumptions!$B$6*(1-Assumptions!$B$11*Assumptions!$B$10)</f>
        <v/>
      </c>
      <c r="AL2" s="18">
        <f>SUM(B2:M2)</f>
        <v/>
      </c>
      <c r="AM2" s="18">
        <f>SUM(N2:Y2)</f>
        <v/>
      </c>
      <c r="AN2" s="18">
        <f>SUM(Z2:AK2)</f>
        <v/>
      </c>
    </row>
    <row r="3">
      <c r="A3" t="inlineStr">
        <is>
          <t>Subscription revenue — Pro</t>
        </is>
      </c>
      <c r="B3" s="5">
        <f>Customers!B8*Assumptions!$B$7*(1-Assumptions!$B$11*Assumptions!$B$10)</f>
        <v/>
      </c>
      <c r="C3" s="5">
        <f>Customers!C8*Assumptions!$B$7*(1-Assumptions!$B$11*Assumptions!$B$10)</f>
        <v/>
      </c>
      <c r="D3" s="5">
        <f>Customers!D8*Assumptions!$B$7*(1-Assumptions!$B$11*Assumptions!$B$10)</f>
        <v/>
      </c>
      <c r="E3" s="5">
        <f>Customers!E8*Assumptions!$B$7*(1-Assumptions!$B$11*Assumptions!$B$10)</f>
        <v/>
      </c>
      <c r="F3" s="5">
        <f>Customers!F8*Assumptions!$B$7*(1-Assumptions!$B$11*Assumptions!$B$10)</f>
        <v/>
      </c>
      <c r="G3" s="5">
        <f>Customers!G8*Assumptions!$B$7*(1-Assumptions!$B$11*Assumptions!$B$10)</f>
        <v/>
      </c>
      <c r="H3" s="5">
        <f>Customers!H8*Assumptions!$B$7*(1-Assumptions!$B$11*Assumptions!$B$10)</f>
        <v/>
      </c>
      <c r="I3" s="5">
        <f>Customers!I8*Assumptions!$B$7*(1-Assumptions!$B$11*Assumptions!$B$10)</f>
        <v/>
      </c>
      <c r="J3" s="5">
        <f>Customers!J8*Assumptions!$B$7*(1-Assumptions!$B$11*Assumptions!$B$10)</f>
        <v/>
      </c>
      <c r="K3" s="5">
        <f>Customers!K8*Assumptions!$B$7*(1-Assumptions!$B$11*Assumptions!$B$10)</f>
        <v/>
      </c>
      <c r="L3" s="5">
        <f>Customers!L8*Assumptions!$B$7*(1-Assumptions!$B$11*Assumptions!$B$10)</f>
        <v/>
      </c>
      <c r="M3" s="5">
        <f>Customers!M8*Assumptions!$B$7*(1-Assumptions!$B$11*Assumptions!$B$10)</f>
        <v/>
      </c>
      <c r="N3" s="5">
        <f>Customers!N8*Assumptions!$B$7*(1-Assumptions!$B$11*Assumptions!$B$10)</f>
        <v/>
      </c>
      <c r="O3" s="5">
        <f>Customers!O8*Assumptions!$B$7*(1-Assumptions!$B$11*Assumptions!$B$10)</f>
        <v/>
      </c>
      <c r="P3" s="5">
        <f>Customers!P8*Assumptions!$B$7*(1-Assumptions!$B$11*Assumptions!$B$10)</f>
        <v/>
      </c>
      <c r="Q3" s="5">
        <f>Customers!Q8*Assumptions!$B$7*(1-Assumptions!$B$11*Assumptions!$B$10)</f>
        <v/>
      </c>
      <c r="R3" s="5">
        <f>Customers!R8*Assumptions!$B$7*(1-Assumptions!$B$11*Assumptions!$B$10)</f>
        <v/>
      </c>
      <c r="S3" s="5">
        <f>Customers!S8*Assumptions!$B$7*(1-Assumptions!$B$11*Assumptions!$B$10)</f>
        <v/>
      </c>
      <c r="T3" s="5">
        <f>Customers!T8*Assumptions!$B$7*(1-Assumptions!$B$11*Assumptions!$B$10)</f>
        <v/>
      </c>
      <c r="U3" s="5">
        <f>Customers!U8*Assumptions!$B$7*(1-Assumptions!$B$11*Assumptions!$B$10)</f>
        <v/>
      </c>
      <c r="V3" s="5">
        <f>Customers!V8*Assumptions!$B$7*(1-Assumptions!$B$11*Assumptions!$B$10)</f>
        <v/>
      </c>
      <c r="W3" s="5">
        <f>Customers!W8*Assumptions!$B$7*(1-Assumptions!$B$11*Assumptions!$B$10)</f>
        <v/>
      </c>
      <c r="X3" s="5">
        <f>Customers!X8*Assumptions!$B$7*(1-Assumptions!$B$11*Assumptions!$B$10)</f>
        <v/>
      </c>
      <c r="Y3" s="5">
        <f>Customers!Y8*Assumptions!$B$7*(1-Assumptions!$B$11*Assumptions!$B$10)</f>
        <v/>
      </c>
      <c r="Z3" s="5">
        <f>Customers!Z8*Assumptions!$B$7*(1-Assumptions!$B$11*Assumptions!$B$10)</f>
        <v/>
      </c>
      <c r="AA3" s="5">
        <f>Customers!AA8*Assumptions!$B$7*(1-Assumptions!$B$11*Assumptions!$B$10)</f>
        <v/>
      </c>
      <c r="AB3" s="5">
        <f>Customers!AB8*Assumptions!$B$7*(1-Assumptions!$B$11*Assumptions!$B$10)</f>
        <v/>
      </c>
      <c r="AC3" s="5">
        <f>Customers!AC8*Assumptions!$B$7*(1-Assumptions!$B$11*Assumptions!$B$10)</f>
        <v/>
      </c>
      <c r="AD3" s="5">
        <f>Customers!AD8*Assumptions!$B$7*(1-Assumptions!$B$11*Assumptions!$B$10)</f>
        <v/>
      </c>
      <c r="AE3" s="5">
        <f>Customers!AE8*Assumptions!$B$7*(1-Assumptions!$B$11*Assumptions!$B$10)</f>
        <v/>
      </c>
      <c r="AF3" s="5">
        <f>Customers!AF8*Assumptions!$B$7*(1-Assumptions!$B$11*Assumptions!$B$10)</f>
        <v/>
      </c>
      <c r="AG3" s="5">
        <f>Customers!AG8*Assumptions!$B$7*(1-Assumptions!$B$11*Assumptions!$B$10)</f>
        <v/>
      </c>
      <c r="AH3" s="5">
        <f>Customers!AH8*Assumptions!$B$7*(1-Assumptions!$B$11*Assumptions!$B$10)</f>
        <v/>
      </c>
      <c r="AI3" s="5">
        <f>Customers!AI8*Assumptions!$B$7*(1-Assumptions!$B$11*Assumptions!$B$10)</f>
        <v/>
      </c>
      <c r="AJ3" s="5">
        <f>Customers!AJ8*Assumptions!$B$7*(1-Assumptions!$B$11*Assumptions!$B$10)</f>
        <v/>
      </c>
      <c r="AK3" s="5">
        <f>Customers!AK8*Assumptions!$B$7*(1-Assumptions!$B$11*Assumptions!$B$10)</f>
        <v/>
      </c>
      <c r="AL3" s="18">
        <f>SUM(B3:M3)</f>
        <v/>
      </c>
      <c r="AM3" s="18">
        <f>SUM(N3:Y3)</f>
        <v/>
      </c>
      <c r="AN3" s="18">
        <f>SUM(Z3:AK3)</f>
        <v/>
      </c>
    </row>
    <row r="4">
      <c r="A4" t="inlineStr">
        <is>
          <t>Subscription revenue — Agency</t>
        </is>
      </c>
      <c r="B4" s="5">
        <f>Customers!B9*Assumptions!$B$8*(1-Assumptions!$B$11*Assumptions!$B$10)</f>
        <v/>
      </c>
      <c r="C4" s="5">
        <f>Customers!C9*Assumptions!$B$8*(1-Assumptions!$B$11*Assumptions!$B$10)</f>
        <v/>
      </c>
      <c r="D4" s="5">
        <f>Customers!D9*Assumptions!$B$8*(1-Assumptions!$B$11*Assumptions!$B$10)</f>
        <v/>
      </c>
      <c r="E4" s="5">
        <f>Customers!E9*Assumptions!$B$8*(1-Assumptions!$B$11*Assumptions!$B$10)</f>
        <v/>
      </c>
      <c r="F4" s="5">
        <f>Customers!F9*Assumptions!$B$8*(1-Assumptions!$B$11*Assumptions!$B$10)</f>
        <v/>
      </c>
      <c r="G4" s="5">
        <f>Customers!G9*Assumptions!$B$8*(1-Assumptions!$B$11*Assumptions!$B$10)</f>
        <v/>
      </c>
      <c r="H4" s="5">
        <f>Customers!H9*Assumptions!$B$8*(1-Assumptions!$B$11*Assumptions!$B$10)</f>
        <v/>
      </c>
      <c r="I4" s="5">
        <f>Customers!I9*Assumptions!$B$8*(1-Assumptions!$B$11*Assumptions!$B$10)</f>
        <v/>
      </c>
      <c r="J4" s="5">
        <f>Customers!J9*Assumptions!$B$8*(1-Assumptions!$B$11*Assumptions!$B$10)</f>
        <v/>
      </c>
      <c r="K4" s="5">
        <f>Customers!K9*Assumptions!$B$8*(1-Assumptions!$B$11*Assumptions!$B$10)</f>
        <v/>
      </c>
      <c r="L4" s="5">
        <f>Customers!L9*Assumptions!$B$8*(1-Assumptions!$B$11*Assumptions!$B$10)</f>
        <v/>
      </c>
      <c r="M4" s="5">
        <f>Customers!M9*Assumptions!$B$8*(1-Assumptions!$B$11*Assumptions!$B$10)</f>
        <v/>
      </c>
      <c r="N4" s="5">
        <f>Customers!N9*Assumptions!$B$8*(1-Assumptions!$B$11*Assumptions!$B$10)</f>
        <v/>
      </c>
      <c r="O4" s="5">
        <f>Customers!O9*Assumptions!$B$8*(1-Assumptions!$B$11*Assumptions!$B$10)</f>
        <v/>
      </c>
      <c r="P4" s="5">
        <f>Customers!P9*Assumptions!$B$8*(1-Assumptions!$B$11*Assumptions!$B$10)</f>
        <v/>
      </c>
      <c r="Q4" s="5">
        <f>Customers!Q9*Assumptions!$B$8*(1-Assumptions!$B$11*Assumptions!$B$10)</f>
        <v/>
      </c>
      <c r="R4" s="5">
        <f>Customers!R9*Assumptions!$B$8*(1-Assumptions!$B$11*Assumptions!$B$10)</f>
        <v/>
      </c>
      <c r="S4" s="5">
        <f>Customers!S9*Assumptions!$B$8*(1-Assumptions!$B$11*Assumptions!$B$10)</f>
        <v/>
      </c>
      <c r="T4" s="5">
        <f>Customers!T9*Assumptions!$B$8*(1-Assumptions!$B$11*Assumptions!$B$10)</f>
        <v/>
      </c>
      <c r="U4" s="5">
        <f>Customers!U9*Assumptions!$B$8*(1-Assumptions!$B$11*Assumptions!$B$10)</f>
        <v/>
      </c>
      <c r="V4" s="5">
        <f>Customers!V9*Assumptions!$B$8*(1-Assumptions!$B$11*Assumptions!$B$10)</f>
        <v/>
      </c>
      <c r="W4" s="5">
        <f>Customers!W9*Assumptions!$B$8*(1-Assumptions!$B$11*Assumptions!$B$10)</f>
        <v/>
      </c>
      <c r="X4" s="5">
        <f>Customers!X9*Assumptions!$B$8*(1-Assumptions!$B$11*Assumptions!$B$10)</f>
        <v/>
      </c>
      <c r="Y4" s="5">
        <f>Customers!Y9*Assumptions!$B$8*(1-Assumptions!$B$11*Assumptions!$B$10)</f>
        <v/>
      </c>
      <c r="Z4" s="5">
        <f>Customers!Z9*Assumptions!$B$8*(1-Assumptions!$B$11*Assumptions!$B$10)</f>
        <v/>
      </c>
      <c r="AA4" s="5">
        <f>Customers!AA9*Assumptions!$B$8*(1-Assumptions!$B$11*Assumptions!$B$10)</f>
        <v/>
      </c>
      <c r="AB4" s="5">
        <f>Customers!AB9*Assumptions!$B$8*(1-Assumptions!$B$11*Assumptions!$B$10)</f>
        <v/>
      </c>
      <c r="AC4" s="5">
        <f>Customers!AC9*Assumptions!$B$8*(1-Assumptions!$B$11*Assumptions!$B$10)</f>
        <v/>
      </c>
      <c r="AD4" s="5">
        <f>Customers!AD9*Assumptions!$B$8*(1-Assumptions!$B$11*Assumptions!$B$10)</f>
        <v/>
      </c>
      <c r="AE4" s="5">
        <f>Customers!AE9*Assumptions!$B$8*(1-Assumptions!$B$11*Assumptions!$B$10)</f>
        <v/>
      </c>
      <c r="AF4" s="5">
        <f>Customers!AF9*Assumptions!$B$8*(1-Assumptions!$B$11*Assumptions!$B$10)</f>
        <v/>
      </c>
      <c r="AG4" s="5">
        <f>Customers!AG9*Assumptions!$B$8*(1-Assumptions!$B$11*Assumptions!$B$10)</f>
        <v/>
      </c>
      <c r="AH4" s="5">
        <f>Customers!AH9*Assumptions!$B$8*(1-Assumptions!$B$11*Assumptions!$B$10)</f>
        <v/>
      </c>
      <c r="AI4" s="5">
        <f>Customers!AI9*Assumptions!$B$8*(1-Assumptions!$B$11*Assumptions!$B$10)</f>
        <v/>
      </c>
      <c r="AJ4" s="5">
        <f>Customers!AJ9*Assumptions!$B$8*(1-Assumptions!$B$11*Assumptions!$B$10)</f>
        <v/>
      </c>
      <c r="AK4" s="5">
        <f>Customers!AK9*Assumptions!$B$8*(1-Assumptions!$B$11*Assumptions!$B$10)</f>
        <v/>
      </c>
      <c r="AL4" s="18">
        <f>SUM(B4:M4)</f>
        <v/>
      </c>
      <c r="AM4" s="18">
        <f>SUM(N4:Y4)</f>
        <v/>
      </c>
      <c r="AN4" s="18">
        <f>SUM(Z4:AK4)</f>
        <v/>
      </c>
    </row>
    <row r="5">
      <c r="A5" t="inlineStr">
        <is>
          <t>Subscription revenue — Enterprise</t>
        </is>
      </c>
      <c r="B5" s="5">
        <f>Customers!B10*Assumptions!$B$9</f>
        <v/>
      </c>
      <c r="C5" s="5">
        <f>Customers!C10*Assumptions!$B$9</f>
        <v/>
      </c>
      <c r="D5" s="5">
        <f>Customers!D10*Assumptions!$B$9</f>
        <v/>
      </c>
      <c r="E5" s="5">
        <f>Customers!E10*Assumptions!$B$9</f>
        <v/>
      </c>
      <c r="F5" s="5">
        <f>Customers!F10*Assumptions!$B$9</f>
        <v/>
      </c>
      <c r="G5" s="5">
        <f>Customers!G10*Assumptions!$B$9</f>
        <v/>
      </c>
      <c r="H5" s="5">
        <f>Customers!H10*Assumptions!$B$9</f>
        <v/>
      </c>
      <c r="I5" s="5">
        <f>Customers!I10*Assumptions!$B$9</f>
        <v/>
      </c>
      <c r="J5" s="5">
        <f>Customers!J10*Assumptions!$B$9</f>
        <v/>
      </c>
      <c r="K5" s="5">
        <f>Customers!K10*Assumptions!$B$9</f>
        <v/>
      </c>
      <c r="L5" s="5">
        <f>Customers!L10*Assumptions!$B$9</f>
        <v/>
      </c>
      <c r="M5" s="5">
        <f>Customers!M10*Assumptions!$B$9</f>
        <v/>
      </c>
      <c r="N5" s="5">
        <f>Customers!N10*Assumptions!$B$9</f>
        <v/>
      </c>
      <c r="O5" s="5">
        <f>Customers!O10*Assumptions!$B$9</f>
        <v/>
      </c>
      <c r="P5" s="5">
        <f>Customers!P10*Assumptions!$B$9</f>
        <v/>
      </c>
      <c r="Q5" s="5">
        <f>Customers!Q10*Assumptions!$B$9</f>
        <v/>
      </c>
      <c r="R5" s="5">
        <f>Customers!R10*Assumptions!$B$9</f>
        <v/>
      </c>
      <c r="S5" s="5">
        <f>Customers!S10*Assumptions!$B$9</f>
        <v/>
      </c>
      <c r="T5" s="5">
        <f>Customers!T10*Assumptions!$B$9</f>
        <v/>
      </c>
      <c r="U5" s="5">
        <f>Customers!U10*Assumptions!$B$9</f>
        <v/>
      </c>
      <c r="V5" s="5">
        <f>Customers!V10*Assumptions!$B$9</f>
        <v/>
      </c>
      <c r="W5" s="5">
        <f>Customers!W10*Assumptions!$B$9</f>
        <v/>
      </c>
      <c r="X5" s="5">
        <f>Customers!X10*Assumptions!$B$9</f>
        <v/>
      </c>
      <c r="Y5" s="5">
        <f>Customers!Y10*Assumptions!$B$9</f>
        <v/>
      </c>
      <c r="Z5" s="5">
        <f>Customers!Z10*Assumptions!$B$9</f>
        <v/>
      </c>
      <c r="AA5" s="5">
        <f>Customers!AA10*Assumptions!$B$9</f>
        <v/>
      </c>
      <c r="AB5" s="5">
        <f>Customers!AB10*Assumptions!$B$9</f>
        <v/>
      </c>
      <c r="AC5" s="5">
        <f>Customers!AC10*Assumptions!$B$9</f>
        <v/>
      </c>
      <c r="AD5" s="5">
        <f>Customers!AD10*Assumptions!$B$9</f>
        <v/>
      </c>
      <c r="AE5" s="5">
        <f>Customers!AE10*Assumptions!$B$9</f>
        <v/>
      </c>
      <c r="AF5" s="5">
        <f>Customers!AF10*Assumptions!$B$9</f>
        <v/>
      </c>
      <c r="AG5" s="5">
        <f>Customers!AG10*Assumptions!$B$9</f>
        <v/>
      </c>
      <c r="AH5" s="5">
        <f>Customers!AH10*Assumptions!$B$9</f>
        <v/>
      </c>
      <c r="AI5" s="5">
        <f>Customers!AI10*Assumptions!$B$9</f>
        <v/>
      </c>
      <c r="AJ5" s="5">
        <f>Customers!AJ10*Assumptions!$B$9</f>
        <v/>
      </c>
      <c r="AK5" s="5">
        <f>Customers!AK10*Assumptions!$B$9</f>
        <v/>
      </c>
      <c r="AL5" s="18">
        <f>SUM(B5:M5)</f>
        <v/>
      </c>
      <c r="AM5" s="18">
        <f>SUM(N5:Y5)</f>
        <v/>
      </c>
      <c r="AN5" s="18">
        <f>SUM(Z5:AK5)</f>
        <v/>
      </c>
    </row>
    <row r="6">
      <c r="A6" t="inlineStr">
        <is>
          <t>Top-ups, seats, brands</t>
        </is>
      </c>
      <c r="B6" s="5">
        <f>SUM(B2:B5)*Assumptions!$B$12</f>
        <v/>
      </c>
      <c r="C6" s="5">
        <f>SUM(C2:C5)*Assumptions!$B$12</f>
        <v/>
      </c>
      <c r="D6" s="5">
        <f>SUM(D2:D5)*Assumptions!$B$12</f>
        <v/>
      </c>
      <c r="E6" s="5">
        <f>SUM(E2:E5)*Assumptions!$B$12</f>
        <v/>
      </c>
      <c r="F6" s="5">
        <f>SUM(F2:F5)*Assumptions!$B$12</f>
        <v/>
      </c>
      <c r="G6" s="5">
        <f>SUM(G2:G5)*Assumptions!$B$12</f>
        <v/>
      </c>
      <c r="H6" s="5">
        <f>SUM(H2:H5)*Assumptions!$B$12</f>
        <v/>
      </c>
      <c r="I6" s="5">
        <f>SUM(I2:I5)*Assumptions!$B$12</f>
        <v/>
      </c>
      <c r="J6" s="5">
        <f>SUM(J2:J5)*Assumptions!$B$12</f>
        <v/>
      </c>
      <c r="K6" s="5">
        <f>SUM(K2:K5)*Assumptions!$B$12</f>
        <v/>
      </c>
      <c r="L6" s="5">
        <f>SUM(L2:L5)*Assumptions!$B$12</f>
        <v/>
      </c>
      <c r="M6" s="5">
        <f>SUM(M2:M5)*Assumptions!$B$12</f>
        <v/>
      </c>
      <c r="N6" s="5">
        <f>SUM(N2:N5)*Assumptions!$B$12</f>
        <v/>
      </c>
      <c r="O6" s="5">
        <f>SUM(O2:O5)*Assumptions!$B$12</f>
        <v/>
      </c>
      <c r="P6" s="5">
        <f>SUM(P2:P5)*Assumptions!$B$12</f>
        <v/>
      </c>
      <c r="Q6" s="5">
        <f>SUM(Q2:Q5)*Assumptions!$B$12</f>
        <v/>
      </c>
      <c r="R6" s="5">
        <f>SUM(R2:R5)*Assumptions!$B$12</f>
        <v/>
      </c>
      <c r="S6" s="5">
        <f>SUM(S2:S5)*Assumptions!$B$12</f>
        <v/>
      </c>
      <c r="T6" s="5">
        <f>SUM(T2:T5)*Assumptions!$B$12</f>
        <v/>
      </c>
      <c r="U6" s="5">
        <f>SUM(U2:U5)*Assumptions!$B$12</f>
        <v/>
      </c>
      <c r="V6" s="5">
        <f>SUM(V2:V5)*Assumptions!$B$12</f>
        <v/>
      </c>
      <c r="W6" s="5">
        <f>SUM(W2:W5)*Assumptions!$B$12</f>
        <v/>
      </c>
      <c r="X6" s="5">
        <f>SUM(X2:X5)*Assumptions!$B$12</f>
        <v/>
      </c>
      <c r="Y6" s="5">
        <f>SUM(Y2:Y5)*Assumptions!$B$12</f>
        <v/>
      </c>
      <c r="Z6" s="5">
        <f>SUM(Z2:Z5)*Assumptions!$B$12</f>
        <v/>
      </c>
      <c r="AA6" s="5">
        <f>SUM(AA2:AA5)*Assumptions!$B$12</f>
        <v/>
      </c>
      <c r="AB6" s="5">
        <f>SUM(AB2:AB5)*Assumptions!$B$12</f>
        <v/>
      </c>
      <c r="AC6" s="5">
        <f>SUM(AC2:AC5)*Assumptions!$B$12</f>
        <v/>
      </c>
      <c r="AD6" s="5">
        <f>SUM(AD2:AD5)*Assumptions!$B$12</f>
        <v/>
      </c>
      <c r="AE6" s="5">
        <f>SUM(AE2:AE5)*Assumptions!$B$12</f>
        <v/>
      </c>
      <c r="AF6" s="5">
        <f>SUM(AF2:AF5)*Assumptions!$B$12</f>
        <v/>
      </c>
      <c r="AG6" s="5">
        <f>SUM(AG2:AG5)*Assumptions!$B$12</f>
        <v/>
      </c>
      <c r="AH6" s="5">
        <f>SUM(AH2:AH5)*Assumptions!$B$12</f>
        <v/>
      </c>
      <c r="AI6" s="5">
        <f>SUM(AI2:AI5)*Assumptions!$B$12</f>
        <v/>
      </c>
      <c r="AJ6" s="5">
        <f>SUM(AJ2:AJ5)*Assumptions!$B$12</f>
        <v/>
      </c>
      <c r="AK6" s="5">
        <f>SUM(AK2:AK5)*Assumptions!$B$12</f>
        <v/>
      </c>
      <c r="AL6" s="18">
        <f>SUM(B6:M6)</f>
        <v/>
      </c>
      <c r="AM6" s="18">
        <f>SUM(N6:Y6)</f>
        <v/>
      </c>
      <c r="AN6" s="18">
        <f>SUM(Z6:AK6)</f>
        <v/>
      </c>
    </row>
    <row r="7">
      <c r="A7" s="4" t="inlineStr">
        <is>
          <t>TOTAL REVENUE</t>
        </is>
      </c>
      <c r="B7" s="16">
        <f>SUM(B2:B6)</f>
        <v/>
      </c>
      <c r="C7" s="16">
        <f>SUM(C2:C6)</f>
        <v/>
      </c>
      <c r="D7" s="16">
        <f>SUM(D2:D6)</f>
        <v/>
      </c>
      <c r="E7" s="16">
        <f>SUM(E2:E6)</f>
        <v/>
      </c>
      <c r="F7" s="16">
        <f>SUM(F2:F6)</f>
        <v/>
      </c>
      <c r="G7" s="16">
        <f>SUM(G2:G6)</f>
        <v/>
      </c>
      <c r="H7" s="16">
        <f>SUM(H2:H6)</f>
        <v/>
      </c>
      <c r="I7" s="16">
        <f>SUM(I2:I6)</f>
        <v/>
      </c>
      <c r="J7" s="16">
        <f>SUM(J2:J6)</f>
        <v/>
      </c>
      <c r="K7" s="16">
        <f>SUM(K2:K6)</f>
        <v/>
      </c>
      <c r="L7" s="16">
        <f>SUM(L2:L6)</f>
        <v/>
      </c>
      <c r="M7" s="16">
        <f>SUM(M2:M6)</f>
        <v/>
      </c>
      <c r="N7" s="16">
        <f>SUM(N2:N6)</f>
        <v/>
      </c>
      <c r="O7" s="16">
        <f>SUM(O2:O6)</f>
        <v/>
      </c>
      <c r="P7" s="16">
        <f>SUM(P2:P6)</f>
        <v/>
      </c>
      <c r="Q7" s="16">
        <f>SUM(Q2:Q6)</f>
        <v/>
      </c>
      <c r="R7" s="16">
        <f>SUM(R2:R6)</f>
        <v/>
      </c>
      <c r="S7" s="16">
        <f>SUM(S2:S6)</f>
        <v/>
      </c>
      <c r="T7" s="16">
        <f>SUM(T2:T6)</f>
        <v/>
      </c>
      <c r="U7" s="16">
        <f>SUM(U2:U6)</f>
        <v/>
      </c>
      <c r="V7" s="16">
        <f>SUM(V2:V6)</f>
        <v/>
      </c>
      <c r="W7" s="16">
        <f>SUM(W2:W6)</f>
        <v/>
      </c>
      <c r="X7" s="16">
        <f>SUM(X2:X6)</f>
        <v/>
      </c>
      <c r="Y7" s="16">
        <f>SUM(Y2:Y6)</f>
        <v/>
      </c>
      <c r="Z7" s="16">
        <f>SUM(Z2:Z6)</f>
        <v/>
      </c>
      <c r="AA7" s="16">
        <f>SUM(AA2:AA6)</f>
        <v/>
      </c>
      <c r="AB7" s="16">
        <f>SUM(AB2:AB6)</f>
        <v/>
      </c>
      <c r="AC7" s="16">
        <f>SUM(AC2:AC6)</f>
        <v/>
      </c>
      <c r="AD7" s="16">
        <f>SUM(AD2:AD6)</f>
        <v/>
      </c>
      <c r="AE7" s="16">
        <f>SUM(AE2:AE6)</f>
        <v/>
      </c>
      <c r="AF7" s="16">
        <f>SUM(AF2:AF6)</f>
        <v/>
      </c>
      <c r="AG7" s="16">
        <f>SUM(AG2:AG6)</f>
        <v/>
      </c>
      <c r="AH7" s="16">
        <f>SUM(AH2:AH6)</f>
        <v/>
      </c>
      <c r="AI7" s="16">
        <f>SUM(AI2:AI6)</f>
        <v/>
      </c>
      <c r="AJ7" s="16">
        <f>SUM(AJ2:AJ6)</f>
        <v/>
      </c>
      <c r="AK7" s="16">
        <f>SUM(AK2:AK6)</f>
        <v/>
      </c>
      <c r="AL7" s="18">
        <f>SUM(B7:M7)</f>
        <v/>
      </c>
      <c r="AM7" s="18">
        <f>SUM(N7:Y7)</f>
        <v/>
      </c>
      <c r="AN7" s="18">
        <f>SUM(Z7:AK7)</f>
        <v/>
      </c>
    </row>
    <row r="8">
      <c r="A8" t="inlineStr"/>
    </row>
    <row r="9">
      <c r="A9" t="inlineStr">
        <is>
          <t>AI model + media</t>
        </is>
      </c>
      <c r="B9" s="5">
        <f>Customers!B7*Assumptions!$B$30+Customers!B8*Assumptions!$B$31+Customers!B9*Assumptions!$B$32+Customers!B10*Assumptions!$B$33</f>
        <v/>
      </c>
      <c r="C9" s="5">
        <f>Customers!C7*Assumptions!$B$30+Customers!C8*Assumptions!$B$31+Customers!C9*Assumptions!$B$32+Customers!C10*Assumptions!$B$33</f>
        <v/>
      </c>
      <c r="D9" s="5">
        <f>Customers!D7*Assumptions!$B$30+Customers!D8*Assumptions!$B$31+Customers!D9*Assumptions!$B$32+Customers!D10*Assumptions!$B$33</f>
        <v/>
      </c>
      <c r="E9" s="5">
        <f>Customers!E7*Assumptions!$B$30+Customers!E8*Assumptions!$B$31+Customers!E9*Assumptions!$B$32+Customers!E10*Assumptions!$B$33</f>
        <v/>
      </c>
      <c r="F9" s="5">
        <f>Customers!F7*Assumptions!$B$30+Customers!F8*Assumptions!$B$31+Customers!F9*Assumptions!$B$32+Customers!F10*Assumptions!$B$33</f>
        <v/>
      </c>
      <c r="G9" s="5">
        <f>Customers!G7*Assumptions!$B$30+Customers!G8*Assumptions!$B$31+Customers!G9*Assumptions!$B$32+Customers!G10*Assumptions!$B$33</f>
        <v/>
      </c>
      <c r="H9" s="5">
        <f>Customers!H7*Assumptions!$B$30+Customers!H8*Assumptions!$B$31+Customers!H9*Assumptions!$B$32+Customers!H10*Assumptions!$B$33</f>
        <v/>
      </c>
      <c r="I9" s="5">
        <f>Customers!I7*Assumptions!$B$30+Customers!I8*Assumptions!$B$31+Customers!I9*Assumptions!$B$32+Customers!I10*Assumptions!$B$33</f>
        <v/>
      </c>
      <c r="J9" s="5">
        <f>Customers!J7*Assumptions!$B$30+Customers!J8*Assumptions!$B$31+Customers!J9*Assumptions!$B$32+Customers!J10*Assumptions!$B$33</f>
        <v/>
      </c>
      <c r="K9" s="5">
        <f>Customers!K7*Assumptions!$B$30+Customers!K8*Assumptions!$B$31+Customers!K9*Assumptions!$B$32+Customers!K10*Assumptions!$B$33</f>
        <v/>
      </c>
      <c r="L9" s="5">
        <f>Customers!L7*Assumptions!$B$30+Customers!L8*Assumptions!$B$31+Customers!L9*Assumptions!$B$32+Customers!L10*Assumptions!$B$33</f>
        <v/>
      </c>
      <c r="M9" s="5">
        <f>Customers!M7*Assumptions!$B$30+Customers!M8*Assumptions!$B$31+Customers!M9*Assumptions!$B$32+Customers!M10*Assumptions!$B$33</f>
        <v/>
      </c>
      <c r="N9" s="5">
        <f>Customers!N7*Assumptions!$B$30+Customers!N8*Assumptions!$B$31+Customers!N9*Assumptions!$B$32+Customers!N10*Assumptions!$B$33</f>
        <v/>
      </c>
      <c r="O9" s="5">
        <f>Customers!O7*Assumptions!$B$30+Customers!O8*Assumptions!$B$31+Customers!O9*Assumptions!$B$32+Customers!O10*Assumptions!$B$33</f>
        <v/>
      </c>
      <c r="P9" s="5">
        <f>Customers!P7*Assumptions!$B$30+Customers!P8*Assumptions!$B$31+Customers!P9*Assumptions!$B$32+Customers!P10*Assumptions!$B$33</f>
        <v/>
      </c>
      <c r="Q9" s="5">
        <f>Customers!Q7*Assumptions!$B$30+Customers!Q8*Assumptions!$B$31+Customers!Q9*Assumptions!$B$32+Customers!Q10*Assumptions!$B$33</f>
        <v/>
      </c>
      <c r="R9" s="5">
        <f>Customers!R7*Assumptions!$B$30+Customers!R8*Assumptions!$B$31+Customers!R9*Assumptions!$B$32+Customers!R10*Assumptions!$B$33</f>
        <v/>
      </c>
      <c r="S9" s="5">
        <f>Customers!S7*Assumptions!$B$30+Customers!S8*Assumptions!$B$31+Customers!S9*Assumptions!$B$32+Customers!S10*Assumptions!$B$33</f>
        <v/>
      </c>
      <c r="T9" s="5">
        <f>Customers!T7*Assumptions!$B$30+Customers!T8*Assumptions!$B$31+Customers!T9*Assumptions!$B$32+Customers!T10*Assumptions!$B$33</f>
        <v/>
      </c>
      <c r="U9" s="5">
        <f>Customers!U7*Assumptions!$B$30+Customers!U8*Assumptions!$B$31+Customers!U9*Assumptions!$B$32+Customers!U10*Assumptions!$B$33</f>
        <v/>
      </c>
      <c r="V9" s="5">
        <f>Customers!V7*Assumptions!$B$30+Customers!V8*Assumptions!$B$31+Customers!V9*Assumptions!$B$32+Customers!V10*Assumptions!$B$33</f>
        <v/>
      </c>
      <c r="W9" s="5">
        <f>Customers!W7*Assumptions!$B$30+Customers!W8*Assumptions!$B$31+Customers!W9*Assumptions!$B$32+Customers!W10*Assumptions!$B$33</f>
        <v/>
      </c>
      <c r="X9" s="5">
        <f>Customers!X7*Assumptions!$B$30+Customers!X8*Assumptions!$B$31+Customers!X9*Assumptions!$B$32+Customers!X10*Assumptions!$B$33</f>
        <v/>
      </c>
      <c r="Y9" s="5">
        <f>Customers!Y7*Assumptions!$B$30+Customers!Y8*Assumptions!$B$31+Customers!Y9*Assumptions!$B$32+Customers!Y10*Assumptions!$B$33</f>
        <v/>
      </c>
      <c r="Z9" s="5">
        <f>Customers!Z7*Assumptions!$B$30+Customers!Z8*Assumptions!$B$31+Customers!Z9*Assumptions!$B$32+Customers!Z10*Assumptions!$B$33</f>
        <v/>
      </c>
      <c r="AA9" s="5">
        <f>Customers!AA7*Assumptions!$B$30+Customers!AA8*Assumptions!$B$31+Customers!AA9*Assumptions!$B$32+Customers!AA10*Assumptions!$B$33</f>
        <v/>
      </c>
      <c r="AB9" s="5">
        <f>Customers!AB7*Assumptions!$B$30+Customers!AB8*Assumptions!$B$31+Customers!AB9*Assumptions!$B$32+Customers!AB10*Assumptions!$B$33</f>
        <v/>
      </c>
      <c r="AC9" s="5">
        <f>Customers!AC7*Assumptions!$B$30+Customers!AC8*Assumptions!$B$31+Customers!AC9*Assumptions!$B$32+Customers!AC10*Assumptions!$B$33</f>
        <v/>
      </c>
      <c r="AD9" s="5">
        <f>Customers!AD7*Assumptions!$B$30+Customers!AD8*Assumptions!$B$31+Customers!AD9*Assumptions!$B$32+Customers!AD10*Assumptions!$B$33</f>
        <v/>
      </c>
      <c r="AE9" s="5">
        <f>Customers!AE7*Assumptions!$B$30+Customers!AE8*Assumptions!$B$31+Customers!AE9*Assumptions!$B$32+Customers!AE10*Assumptions!$B$33</f>
        <v/>
      </c>
      <c r="AF9" s="5">
        <f>Customers!AF7*Assumptions!$B$30+Customers!AF8*Assumptions!$B$31+Customers!AF9*Assumptions!$B$32+Customers!AF10*Assumptions!$B$33</f>
        <v/>
      </c>
      <c r="AG9" s="5">
        <f>Customers!AG7*Assumptions!$B$30+Customers!AG8*Assumptions!$B$31+Customers!AG9*Assumptions!$B$32+Customers!AG10*Assumptions!$B$33</f>
        <v/>
      </c>
      <c r="AH9" s="5">
        <f>Customers!AH7*Assumptions!$B$30+Customers!AH8*Assumptions!$B$31+Customers!AH9*Assumptions!$B$32+Customers!AH10*Assumptions!$B$33</f>
        <v/>
      </c>
      <c r="AI9" s="5">
        <f>Customers!AI7*Assumptions!$B$30+Customers!AI8*Assumptions!$B$31+Customers!AI9*Assumptions!$B$32+Customers!AI10*Assumptions!$B$33</f>
        <v/>
      </c>
      <c r="AJ9" s="5">
        <f>Customers!AJ7*Assumptions!$B$30+Customers!AJ8*Assumptions!$B$31+Customers!AJ9*Assumptions!$B$32+Customers!AJ10*Assumptions!$B$33</f>
        <v/>
      </c>
      <c r="AK9" s="5">
        <f>Customers!AK7*Assumptions!$B$30+Customers!AK8*Assumptions!$B$31+Customers!AK9*Assumptions!$B$32+Customers!AK10*Assumptions!$B$33</f>
        <v/>
      </c>
      <c r="AL9" s="18">
        <f>SUM(B9:M9)</f>
        <v/>
      </c>
      <c r="AM9" s="18">
        <f>SUM(N9:Y9)</f>
        <v/>
      </c>
      <c r="AN9" s="18">
        <f>SUM(Z9:AK9)</f>
        <v/>
      </c>
    </row>
    <row r="10">
      <c r="A10" t="inlineStr">
        <is>
          <t>Infra (KSA region)</t>
        </is>
      </c>
      <c r="B10" s="5">
        <f>Customers!B6*Assumptions!$B$34</f>
        <v/>
      </c>
      <c r="C10" s="5">
        <f>Customers!C6*Assumptions!$B$34</f>
        <v/>
      </c>
      <c r="D10" s="5">
        <f>Customers!D6*Assumptions!$B$34</f>
        <v/>
      </c>
      <c r="E10" s="5">
        <f>Customers!E6*Assumptions!$B$34</f>
        <v/>
      </c>
      <c r="F10" s="5">
        <f>Customers!F6*Assumptions!$B$34</f>
        <v/>
      </c>
      <c r="G10" s="5">
        <f>Customers!G6*Assumptions!$B$34</f>
        <v/>
      </c>
      <c r="H10" s="5">
        <f>Customers!H6*Assumptions!$B$34</f>
        <v/>
      </c>
      <c r="I10" s="5">
        <f>Customers!I6*Assumptions!$B$34</f>
        <v/>
      </c>
      <c r="J10" s="5">
        <f>Customers!J6*Assumptions!$B$34</f>
        <v/>
      </c>
      <c r="K10" s="5">
        <f>Customers!K6*Assumptions!$B$34</f>
        <v/>
      </c>
      <c r="L10" s="5">
        <f>Customers!L6*Assumptions!$B$34</f>
        <v/>
      </c>
      <c r="M10" s="5">
        <f>Customers!M6*Assumptions!$B$34</f>
        <v/>
      </c>
      <c r="N10" s="5">
        <f>Customers!N6*Assumptions!$B$34</f>
        <v/>
      </c>
      <c r="O10" s="5">
        <f>Customers!O6*Assumptions!$B$34</f>
        <v/>
      </c>
      <c r="P10" s="5">
        <f>Customers!P6*Assumptions!$B$34</f>
        <v/>
      </c>
      <c r="Q10" s="5">
        <f>Customers!Q6*Assumptions!$B$34</f>
        <v/>
      </c>
      <c r="R10" s="5">
        <f>Customers!R6*Assumptions!$B$34</f>
        <v/>
      </c>
      <c r="S10" s="5">
        <f>Customers!S6*Assumptions!$B$34</f>
        <v/>
      </c>
      <c r="T10" s="5">
        <f>Customers!T6*Assumptions!$B$34</f>
        <v/>
      </c>
      <c r="U10" s="5">
        <f>Customers!U6*Assumptions!$B$34</f>
        <v/>
      </c>
      <c r="V10" s="5">
        <f>Customers!V6*Assumptions!$B$34</f>
        <v/>
      </c>
      <c r="W10" s="5">
        <f>Customers!W6*Assumptions!$B$34</f>
        <v/>
      </c>
      <c r="X10" s="5">
        <f>Customers!X6*Assumptions!$B$34</f>
        <v/>
      </c>
      <c r="Y10" s="5">
        <f>Customers!Y6*Assumptions!$B$34</f>
        <v/>
      </c>
      <c r="Z10" s="5">
        <f>Customers!Z6*Assumptions!$B$34</f>
        <v/>
      </c>
      <c r="AA10" s="5">
        <f>Customers!AA6*Assumptions!$B$34</f>
        <v/>
      </c>
      <c r="AB10" s="5">
        <f>Customers!AB6*Assumptions!$B$34</f>
        <v/>
      </c>
      <c r="AC10" s="5">
        <f>Customers!AC6*Assumptions!$B$34</f>
        <v/>
      </c>
      <c r="AD10" s="5">
        <f>Customers!AD6*Assumptions!$B$34</f>
        <v/>
      </c>
      <c r="AE10" s="5">
        <f>Customers!AE6*Assumptions!$B$34</f>
        <v/>
      </c>
      <c r="AF10" s="5">
        <f>Customers!AF6*Assumptions!$B$34</f>
        <v/>
      </c>
      <c r="AG10" s="5">
        <f>Customers!AG6*Assumptions!$B$34</f>
        <v/>
      </c>
      <c r="AH10" s="5">
        <f>Customers!AH6*Assumptions!$B$34</f>
        <v/>
      </c>
      <c r="AI10" s="5">
        <f>Customers!AI6*Assumptions!$B$34</f>
        <v/>
      </c>
      <c r="AJ10" s="5">
        <f>Customers!AJ6*Assumptions!$B$34</f>
        <v/>
      </c>
      <c r="AK10" s="5">
        <f>Customers!AK6*Assumptions!$B$34</f>
        <v/>
      </c>
      <c r="AL10" s="18">
        <f>SUM(B10:M10)</f>
        <v/>
      </c>
      <c r="AM10" s="18">
        <f>SUM(N10:Y10)</f>
        <v/>
      </c>
      <c r="AN10" s="18">
        <f>SUM(Z10:AK10)</f>
        <v/>
      </c>
    </row>
    <row r="11">
      <c r="A11" t="inlineStr">
        <is>
          <t>WhatsApp/SMS pass-through</t>
        </is>
      </c>
      <c r="B11" s="5">
        <f>Customers!B6*Assumptions!$B$35</f>
        <v/>
      </c>
      <c r="C11" s="5">
        <f>Customers!C6*Assumptions!$B$35</f>
        <v/>
      </c>
      <c r="D11" s="5">
        <f>Customers!D6*Assumptions!$B$35</f>
        <v/>
      </c>
      <c r="E11" s="5">
        <f>Customers!E6*Assumptions!$B$35</f>
        <v/>
      </c>
      <c r="F11" s="5">
        <f>Customers!F6*Assumptions!$B$35</f>
        <v/>
      </c>
      <c r="G11" s="5">
        <f>Customers!G6*Assumptions!$B$35</f>
        <v/>
      </c>
      <c r="H11" s="5">
        <f>Customers!H6*Assumptions!$B$35</f>
        <v/>
      </c>
      <c r="I11" s="5">
        <f>Customers!I6*Assumptions!$B$35</f>
        <v/>
      </c>
      <c r="J11" s="5">
        <f>Customers!J6*Assumptions!$B$35</f>
        <v/>
      </c>
      <c r="K11" s="5">
        <f>Customers!K6*Assumptions!$B$35</f>
        <v/>
      </c>
      <c r="L11" s="5">
        <f>Customers!L6*Assumptions!$B$35</f>
        <v/>
      </c>
      <c r="M11" s="5">
        <f>Customers!M6*Assumptions!$B$35</f>
        <v/>
      </c>
      <c r="N11" s="5">
        <f>Customers!N6*Assumptions!$B$35</f>
        <v/>
      </c>
      <c r="O11" s="5">
        <f>Customers!O6*Assumptions!$B$35</f>
        <v/>
      </c>
      <c r="P11" s="5">
        <f>Customers!P6*Assumptions!$B$35</f>
        <v/>
      </c>
      <c r="Q11" s="5">
        <f>Customers!Q6*Assumptions!$B$35</f>
        <v/>
      </c>
      <c r="R11" s="5">
        <f>Customers!R6*Assumptions!$B$35</f>
        <v/>
      </c>
      <c r="S11" s="5">
        <f>Customers!S6*Assumptions!$B$35</f>
        <v/>
      </c>
      <c r="T11" s="5">
        <f>Customers!T6*Assumptions!$B$35</f>
        <v/>
      </c>
      <c r="U11" s="5">
        <f>Customers!U6*Assumptions!$B$35</f>
        <v/>
      </c>
      <c r="V11" s="5">
        <f>Customers!V6*Assumptions!$B$35</f>
        <v/>
      </c>
      <c r="W11" s="5">
        <f>Customers!W6*Assumptions!$B$35</f>
        <v/>
      </c>
      <c r="X11" s="5">
        <f>Customers!X6*Assumptions!$B$35</f>
        <v/>
      </c>
      <c r="Y11" s="5">
        <f>Customers!Y6*Assumptions!$B$35</f>
        <v/>
      </c>
      <c r="Z11" s="5">
        <f>Customers!Z6*Assumptions!$B$35</f>
        <v/>
      </c>
      <c r="AA11" s="5">
        <f>Customers!AA6*Assumptions!$B$35</f>
        <v/>
      </c>
      <c r="AB11" s="5">
        <f>Customers!AB6*Assumptions!$B$35</f>
        <v/>
      </c>
      <c r="AC11" s="5">
        <f>Customers!AC6*Assumptions!$B$35</f>
        <v/>
      </c>
      <c r="AD11" s="5">
        <f>Customers!AD6*Assumptions!$B$35</f>
        <v/>
      </c>
      <c r="AE11" s="5">
        <f>Customers!AE6*Assumptions!$B$35</f>
        <v/>
      </c>
      <c r="AF11" s="5">
        <f>Customers!AF6*Assumptions!$B$35</f>
        <v/>
      </c>
      <c r="AG11" s="5">
        <f>Customers!AG6*Assumptions!$B$35</f>
        <v/>
      </c>
      <c r="AH11" s="5">
        <f>Customers!AH6*Assumptions!$B$35</f>
        <v/>
      </c>
      <c r="AI11" s="5">
        <f>Customers!AI6*Assumptions!$B$35</f>
        <v/>
      </c>
      <c r="AJ11" s="5">
        <f>Customers!AJ6*Assumptions!$B$35</f>
        <v/>
      </c>
      <c r="AK11" s="5">
        <f>Customers!AK6*Assumptions!$B$35</f>
        <v/>
      </c>
      <c r="AL11" s="18">
        <f>SUM(B11:M11)</f>
        <v/>
      </c>
      <c r="AM11" s="18">
        <f>SUM(N11:Y11)</f>
        <v/>
      </c>
      <c r="AN11" s="18">
        <f>SUM(Z11:AK11)</f>
        <v/>
      </c>
    </row>
    <row r="12">
      <c r="A12" t="inlineStr">
        <is>
          <t>Payment fees</t>
        </is>
      </c>
      <c r="B12" s="5">
        <f>B7*Assumptions!$B$36</f>
        <v/>
      </c>
      <c r="C12" s="5">
        <f>C7*Assumptions!$B$36</f>
        <v/>
      </c>
      <c r="D12" s="5">
        <f>D7*Assumptions!$B$36</f>
        <v/>
      </c>
      <c r="E12" s="5">
        <f>E7*Assumptions!$B$36</f>
        <v/>
      </c>
      <c r="F12" s="5">
        <f>F7*Assumptions!$B$36</f>
        <v/>
      </c>
      <c r="G12" s="5">
        <f>G7*Assumptions!$B$36</f>
        <v/>
      </c>
      <c r="H12" s="5">
        <f>H7*Assumptions!$B$36</f>
        <v/>
      </c>
      <c r="I12" s="5">
        <f>I7*Assumptions!$B$36</f>
        <v/>
      </c>
      <c r="J12" s="5">
        <f>J7*Assumptions!$B$36</f>
        <v/>
      </c>
      <c r="K12" s="5">
        <f>K7*Assumptions!$B$36</f>
        <v/>
      </c>
      <c r="L12" s="5">
        <f>L7*Assumptions!$B$36</f>
        <v/>
      </c>
      <c r="M12" s="5">
        <f>M7*Assumptions!$B$36</f>
        <v/>
      </c>
      <c r="N12" s="5">
        <f>N7*Assumptions!$B$36</f>
        <v/>
      </c>
      <c r="O12" s="5">
        <f>O7*Assumptions!$B$36</f>
        <v/>
      </c>
      <c r="P12" s="5">
        <f>P7*Assumptions!$B$36</f>
        <v/>
      </c>
      <c r="Q12" s="5">
        <f>Q7*Assumptions!$B$36</f>
        <v/>
      </c>
      <c r="R12" s="5">
        <f>R7*Assumptions!$B$36</f>
        <v/>
      </c>
      <c r="S12" s="5">
        <f>S7*Assumptions!$B$36</f>
        <v/>
      </c>
      <c r="T12" s="5">
        <f>T7*Assumptions!$B$36</f>
        <v/>
      </c>
      <c r="U12" s="5">
        <f>U7*Assumptions!$B$36</f>
        <v/>
      </c>
      <c r="V12" s="5">
        <f>V7*Assumptions!$B$36</f>
        <v/>
      </c>
      <c r="W12" s="5">
        <f>W7*Assumptions!$B$36</f>
        <v/>
      </c>
      <c r="X12" s="5">
        <f>X7*Assumptions!$B$36</f>
        <v/>
      </c>
      <c r="Y12" s="5">
        <f>Y7*Assumptions!$B$36</f>
        <v/>
      </c>
      <c r="Z12" s="5">
        <f>Z7*Assumptions!$B$36</f>
        <v/>
      </c>
      <c r="AA12" s="5">
        <f>AA7*Assumptions!$B$36</f>
        <v/>
      </c>
      <c r="AB12" s="5">
        <f>AB7*Assumptions!$B$36</f>
        <v/>
      </c>
      <c r="AC12" s="5">
        <f>AC7*Assumptions!$B$36</f>
        <v/>
      </c>
      <c r="AD12" s="5">
        <f>AD7*Assumptions!$B$36</f>
        <v/>
      </c>
      <c r="AE12" s="5">
        <f>AE7*Assumptions!$B$36</f>
        <v/>
      </c>
      <c r="AF12" s="5">
        <f>AF7*Assumptions!$B$36</f>
        <v/>
      </c>
      <c r="AG12" s="5">
        <f>AG7*Assumptions!$B$36</f>
        <v/>
      </c>
      <c r="AH12" s="5">
        <f>AH7*Assumptions!$B$36</f>
        <v/>
      </c>
      <c r="AI12" s="5">
        <f>AI7*Assumptions!$B$36</f>
        <v/>
      </c>
      <c r="AJ12" s="5">
        <f>AJ7*Assumptions!$B$36</f>
        <v/>
      </c>
      <c r="AK12" s="5">
        <f>AK7*Assumptions!$B$36</f>
        <v/>
      </c>
      <c r="AL12" s="18">
        <f>SUM(B12:M12)</f>
        <v/>
      </c>
      <c r="AM12" s="18">
        <f>SUM(N12:Y12)</f>
        <v/>
      </c>
      <c r="AN12" s="18">
        <f>SUM(Z12:AK12)</f>
        <v/>
      </c>
    </row>
    <row r="13">
      <c r="A13" t="inlineStr">
        <is>
          <t>Support &amp; Arabic QA</t>
        </is>
      </c>
      <c r="B13" s="5">
        <f>Customers!B6*Assumptions!$B$37</f>
        <v/>
      </c>
      <c r="C13" s="5">
        <f>Customers!C6*Assumptions!$B$37</f>
        <v/>
      </c>
      <c r="D13" s="5">
        <f>Customers!D6*Assumptions!$B$37</f>
        <v/>
      </c>
      <c r="E13" s="5">
        <f>Customers!E6*Assumptions!$B$37</f>
        <v/>
      </c>
      <c r="F13" s="5">
        <f>Customers!F6*Assumptions!$B$37</f>
        <v/>
      </c>
      <c r="G13" s="5">
        <f>Customers!G6*Assumptions!$B$37</f>
        <v/>
      </c>
      <c r="H13" s="5">
        <f>Customers!H6*Assumptions!$B$37</f>
        <v/>
      </c>
      <c r="I13" s="5">
        <f>Customers!I6*Assumptions!$B$37</f>
        <v/>
      </c>
      <c r="J13" s="5">
        <f>Customers!J6*Assumptions!$B$37</f>
        <v/>
      </c>
      <c r="K13" s="5">
        <f>Customers!K6*Assumptions!$B$37</f>
        <v/>
      </c>
      <c r="L13" s="5">
        <f>Customers!L6*Assumptions!$B$37</f>
        <v/>
      </c>
      <c r="M13" s="5">
        <f>Customers!M6*Assumptions!$B$37</f>
        <v/>
      </c>
      <c r="N13" s="5">
        <f>Customers!N6*Assumptions!$B$37</f>
        <v/>
      </c>
      <c r="O13" s="5">
        <f>Customers!O6*Assumptions!$B$37</f>
        <v/>
      </c>
      <c r="P13" s="5">
        <f>Customers!P6*Assumptions!$B$37</f>
        <v/>
      </c>
      <c r="Q13" s="5">
        <f>Customers!Q6*Assumptions!$B$37</f>
        <v/>
      </c>
      <c r="R13" s="5">
        <f>Customers!R6*Assumptions!$B$37</f>
        <v/>
      </c>
      <c r="S13" s="5">
        <f>Customers!S6*Assumptions!$B$37</f>
        <v/>
      </c>
      <c r="T13" s="5">
        <f>Customers!T6*Assumptions!$B$37</f>
        <v/>
      </c>
      <c r="U13" s="5">
        <f>Customers!U6*Assumptions!$B$37</f>
        <v/>
      </c>
      <c r="V13" s="5">
        <f>Customers!V6*Assumptions!$B$37</f>
        <v/>
      </c>
      <c r="W13" s="5">
        <f>Customers!W6*Assumptions!$B$37</f>
        <v/>
      </c>
      <c r="X13" s="5">
        <f>Customers!X6*Assumptions!$B$37</f>
        <v/>
      </c>
      <c r="Y13" s="5">
        <f>Customers!Y6*Assumptions!$B$37</f>
        <v/>
      </c>
      <c r="Z13" s="5">
        <f>Customers!Z6*Assumptions!$B$37</f>
        <v/>
      </c>
      <c r="AA13" s="5">
        <f>Customers!AA6*Assumptions!$B$37</f>
        <v/>
      </c>
      <c r="AB13" s="5">
        <f>Customers!AB6*Assumptions!$B$37</f>
        <v/>
      </c>
      <c r="AC13" s="5">
        <f>Customers!AC6*Assumptions!$B$37</f>
        <v/>
      </c>
      <c r="AD13" s="5">
        <f>Customers!AD6*Assumptions!$B$37</f>
        <v/>
      </c>
      <c r="AE13" s="5">
        <f>Customers!AE6*Assumptions!$B$37</f>
        <v/>
      </c>
      <c r="AF13" s="5">
        <f>Customers!AF6*Assumptions!$B$37</f>
        <v/>
      </c>
      <c r="AG13" s="5">
        <f>Customers!AG6*Assumptions!$B$37</f>
        <v/>
      </c>
      <c r="AH13" s="5">
        <f>Customers!AH6*Assumptions!$B$37</f>
        <v/>
      </c>
      <c r="AI13" s="5">
        <f>Customers!AI6*Assumptions!$B$37</f>
        <v/>
      </c>
      <c r="AJ13" s="5">
        <f>Customers!AJ6*Assumptions!$B$37</f>
        <v/>
      </c>
      <c r="AK13" s="5">
        <f>Customers!AK6*Assumptions!$B$37</f>
        <v/>
      </c>
      <c r="AL13" s="18">
        <f>SUM(B13:M13)</f>
        <v/>
      </c>
      <c r="AM13" s="18">
        <f>SUM(N13:Y13)</f>
        <v/>
      </c>
      <c r="AN13" s="18">
        <f>SUM(Z13:AK13)</f>
        <v/>
      </c>
    </row>
    <row r="14">
      <c r="A14" s="4" t="inlineStr">
        <is>
          <t>TOTAL COGS</t>
        </is>
      </c>
      <c r="B14" s="16">
        <f>SUM(B9:B13)</f>
        <v/>
      </c>
      <c r="C14" s="16">
        <f>SUM(C9:C13)</f>
        <v/>
      </c>
      <c r="D14" s="16">
        <f>SUM(D9:D13)</f>
        <v/>
      </c>
      <c r="E14" s="16">
        <f>SUM(E9:E13)</f>
        <v/>
      </c>
      <c r="F14" s="16">
        <f>SUM(F9:F13)</f>
        <v/>
      </c>
      <c r="G14" s="16">
        <f>SUM(G9:G13)</f>
        <v/>
      </c>
      <c r="H14" s="16">
        <f>SUM(H9:H13)</f>
        <v/>
      </c>
      <c r="I14" s="16">
        <f>SUM(I9:I13)</f>
        <v/>
      </c>
      <c r="J14" s="16">
        <f>SUM(J9:J13)</f>
        <v/>
      </c>
      <c r="K14" s="16">
        <f>SUM(K9:K13)</f>
        <v/>
      </c>
      <c r="L14" s="16">
        <f>SUM(L9:L13)</f>
        <v/>
      </c>
      <c r="M14" s="16">
        <f>SUM(M9:M13)</f>
        <v/>
      </c>
      <c r="N14" s="16">
        <f>SUM(N9:N13)</f>
        <v/>
      </c>
      <c r="O14" s="16">
        <f>SUM(O9:O13)</f>
        <v/>
      </c>
      <c r="P14" s="16">
        <f>SUM(P9:P13)</f>
        <v/>
      </c>
      <c r="Q14" s="16">
        <f>SUM(Q9:Q13)</f>
        <v/>
      </c>
      <c r="R14" s="16">
        <f>SUM(R9:R13)</f>
        <v/>
      </c>
      <c r="S14" s="16">
        <f>SUM(S9:S13)</f>
        <v/>
      </c>
      <c r="T14" s="16">
        <f>SUM(T9:T13)</f>
        <v/>
      </c>
      <c r="U14" s="16">
        <f>SUM(U9:U13)</f>
        <v/>
      </c>
      <c r="V14" s="16">
        <f>SUM(V9:V13)</f>
        <v/>
      </c>
      <c r="W14" s="16">
        <f>SUM(W9:W13)</f>
        <v/>
      </c>
      <c r="X14" s="16">
        <f>SUM(X9:X13)</f>
        <v/>
      </c>
      <c r="Y14" s="16">
        <f>SUM(Y9:Y13)</f>
        <v/>
      </c>
      <c r="Z14" s="16">
        <f>SUM(Z9:Z13)</f>
        <v/>
      </c>
      <c r="AA14" s="16">
        <f>SUM(AA9:AA13)</f>
        <v/>
      </c>
      <c r="AB14" s="16">
        <f>SUM(AB9:AB13)</f>
        <v/>
      </c>
      <c r="AC14" s="16">
        <f>SUM(AC9:AC13)</f>
        <v/>
      </c>
      <c r="AD14" s="16">
        <f>SUM(AD9:AD13)</f>
        <v/>
      </c>
      <c r="AE14" s="16">
        <f>SUM(AE9:AE13)</f>
        <v/>
      </c>
      <c r="AF14" s="16">
        <f>SUM(AF9:AF13)</f>
        <v/>
      </c>
      <c r="AG14" s="16">
        <f>SUM(AG9:AG13)</f>
        <v/>
      </c>
      <c r="AH14" s="16">
        <f>SUM(AH9:AH13)</f>
        <v/>
      </c>
      <c r="AI14" s="16">
        <f>SUM(AI9:AI13)</f>
        <v/>
      </c>
      <c r="AJ14" s="16">
        <f>SUM(AJ9:AJ13)</f>
        <v/>
      </c>
      <c r="AK14" s="16">
        <f>SUM(AK9:AK13)</f>
        <v/>
      </c>
      <c r="AL14" s="18">
        <f>SUM(B14:M14)</f>
        <v/>
      </c>
      <c r="AM14" s="18">
        <f>SUM(N14:Y14)</f>
        <v/>
      </c>
      <c r="AN14" s="18">
        <f>SUM(Z14:AK14)</f>
        <v/>
      </c>
    </row>
    <row r="15">
      <c r="A15" s="4" t="inlineStr">
        <is>
          <t>GROSS PROFIT</t>
        </is>
      </c>
      <c r="B15" s="16">
        <f>B7-B14</f>
        <v/>
      </c>
      <c r="C15" s="16">
        <f>C7-C14</f>
        <v/>
      </c>
      <c r="D15" s="16">
        <f>D7-D14</f>
        <v/>
      </c>
      <c r="E15" s="16">
        <f>E7-E14</f>
        <v/>
      </c>
      <c r="F15" s="16">
        <f>F7-F14</f>
        <v/>
      </c>
      <c r="G15" s="16">
        <f>G7-G14</f>
        <v/>
      </c>
      <c r="H15" s="16">
        <f>H7-H14</f>
        <v/>
      </c>
      <c r="I15" s="16">
        <f>I7-I14</f>
        <v/>
      </c>
      <c r="J15" s="16">
        <f>J7-J14</f>
        <v/>
      </c>
      <c r="K15" s="16">
        <f>K7-K14</f>
        <v/>
      </c>
      <c r="L15" s="16">
        <f>L7-L14</f>
        <v/>
      </c>
      <c r="M15" s="16">
        <f>M7-M14</f>
        <v/>
      </c>
      <c r="N15" s="16">
        <f>N7-N14</f>
        <v/>
      </c>
      <c r="O15" s="16">
        <f>O7-O14</f>
        <v/>
      </c>
      <c r="P15" s="16">
        <f>P7-P14</f>
        <v/>
      </c>
      <c r="Q15" s="16">
        <f>Q7-Q14</f>
        <v/>
      </c>
      <c r="R15" s="16">
        <f>R7-R14</f>
        <v/>
      </c>
      <c r="S15" s="16">
        <f>S7-S14</f>
        <v/>
      </c>
      <c r="T15" s="16">
        <f>T7-T14</f>
        <v/>
      </c>
      <c r="U15" s="16">
        <f>U7-U14</f>
        <v/>
      </c>
      <c r="V15" s="16">
        <f>V7-V14</f>
        <v/>
      </c>
      <c r="W15" s="16">
        <f>W7-W14</f>
        <v/>
      </c>
      <c r="X15" s="16">
        <f>X7-X14</f>
        <v/>
      </c>
      <c r="Y15" s="16">
        <f>Y7-Y14</f>
        <v/>
      </c>
      <c r="Z15" s="16">
        <f>Z7-Z14</f>
        <v/>
      </c>
      <c r="AA15" s="16">
        <f>AA7-AA14</f>
        <v/>
      </c>
      <c r="AB15" s="16">
        <f>AB7-AB14</f>
        <v/>
      </c>
      <c r="AC15" s="16">
        <f>AC7-AC14</f>
        <v/>
      </c>
      <c r="AD15" s="16">
        <f>AD7-AD14</f>
        <v/>
      </c>
      <c r="AE15" s="16">
        <f>AE7-AE14</f>
        <v/>
      </c>
      <c r="AF15" s="16">
        <f>AF7-AF14</f>
        <v/>
      </c>
      <c r="AG15" s="16">
        <f>AG7-AG14</f>
        <v/>
      </c>
      <c r="AH15" s="16">
        <f>AH7-AH14</f>
        <v/>
      </c>
      <c r="AI15" s="16">
        <f>AI7-AI14</f>
        <v/>
      </c>
      <c r="AJ15" s="16">
        <f>AJ7-AJ14</f>
        <v/>
      </c>
      <c r="AK15" s="16">
        <f>AK7-AK14</f>
        <v/>
      </c>
      <c r="AL15" s="18">
        <f>SUM(B15:M15)</f>
        <v/>
      </c>
      <c r="AM15" s="18">
        <f>SUM(N15:Y15)</f>
        <v/>
      </c>
      <c r="AN15" s="18">
        <f>SUM(Z15:AK15)</f>
        <v/>
      </c>
    </row>
    <row r="16">
      <c r="A16" t="inlineStr">
        <is>
          <t>Gross margin %</t>
        </is>
      </c>
      <c r="B16" s="7">
        <f>IF(B7=0,0,B15/B7)</f>
        <v/>
      </c>
      <c r="C16" s="7">
        <f>IF(C7=0,0,C15/C7)</f>
        <v/>
      </c>
      <c r="D16" s="7">
        <f>IF(D7=0,0,D15/D7)</f>
        <v/>
      </c>
      <c r="E16" s="7">
        <f>IF(E7=0,0,E15/E7)</f>
        <v/>
      </c>
      <c r="F16" s="7">
        <f>IF(F7=0,0,F15/F7)</f>
        <v/>
      </c>
      <c r="G16" s="7">
        <f>IF(G7=0,0,G15/G7)</f>
        <v/>
      </c>
      <c r="H16" s="7">
        <f>IF(H7=0,0,H15/H7)</f>
        <v/>
      </c>
      <c r="I16" s="7">
        <f>IF(I7=0,0,I15/I7)</f>
        <v/>
      </c>
      <c r="J16" s="7">
        <f>IF(J7=0,0,J15/J7)</f>
        <v/>
      </c>
      <c r="K16" s="7">
        <f>IF(K7=0,0,K15/K7)</f>
        <v/>
      </c>
      <c r="L16" s="7">
        <f>IF(L7=0,0,L15/L7)</f>
        <v/>
      </c>
      <c r="M16" s="7">
        <f>IF(M7=0,0,M15/M7)</f>
        <v/>
      </c>
      <c r="N16" s="7">
        <f>IF(N7=0,0,N15/N7)</f>
        <v/>
      </c>
      <c r="O16" s="7">
        <f>IF(O7=0,0,O15/O7)</f>
        <v/>
      </c>
      <c r="P16" s="7">
        <f>IF(P7=0,0,P15/P7)</f>
        <v/>
      </c>
      <c r="Q16" s="7">
        <f>IF(Q7=0,0,Q15/Q7)</f>
        <v/>
      </c>
      <c r="R16" s="7">
        <f>IF(R7=0,0,R15/R7)</f>
        <v/>
      </c>
      <c r="S16" s="7">
        <f>IF(S7=0,0,S15/S7)</f>
        <v/>
      </c>
      <c r="T16" s="7">
        <f>IF(T7=0,0,T15/T7)</f>
        <v/>
      </c>
      <c r="U16" s="7">
        <f>IF(U7=0,0,U15/U7)</f>
        <v/>
      </c>
      <c r="V16" s="7">
        <f>IF(V7=0,0,V15/V7)</f>
        <v/>
      </c>
      <c r="W16" s="7">
        <f>IF(W7=0,0,W15/W7)</f>
        <v/>
      </c>
      <c r="X16" s="7">
        <f>IF(X7=0,0,X15/X7)</f>
        <v/>
      </c>
      <c r="Y16" s="7">
        <f>IF(Y7=0,0,Y15/Y7)</f>
        <v/>
      </c>
      <c r="Z16" s="7">
        <f>IF(Z7=0,0,Z15/Z7)</f>
        <v/>
      </c>
      <c r="AA16" s="7">
        <f>IF(AA7=0,0,AA15/AA7)</f>
        <v/>
      </c>
      <c r="AB16" s="7">
        <f>IF(AB7=0,0,AB15/AB7)</f>
        <v/>
      </c>
      <c r="AC16" s="7">
        <f>IF(AC7=0,0,AC15/AC7)</f>
        <v/>
      </c>
      <c r="AD16" s="7">
        <f>IF(AD7=0,0,AD15/AD7)</f>
        <v/>
      </c>
      <c r="AE16" s="7">
        <f>IF(AE7=0,0,AE15/AE7)</f>
        <v/>
      </c>
      <c r="AF16" s="7">
        <f>IF(AF7=0,0,AF15/AF7)</f>
        <v/>
      </c>
      <c r="AG16" s="7">
        <f>IF(AG7=0,0,AG15/AG7)</f>
        <v/>
      </c>
      <c r="AH16" s="7">
        <f>IF(AH7=0,0,AH15/AH7)</f>
        <v/>
      </c>
      <c r="AI16" s="7">
        <f>IF(AI7=0,0,AI15/AI7)</f>
        <v/>
      </c>
      <c r="AJ16" s="7">
        <f>IF(AJ7=0,0,AJ15/AJ7)</f>
        <v/>
      </c>
      <c r="AK16" s="7">
        <f>IF(AK7=0,0,AK15/AK7)</f>
        <v/>
      </c>
      <c r="AL16" s="19">
        <f>IF(SUM(B7:M7)=0,0,SUM(B15:M15)/SUM(B7:M7))</f>
        <v/>
      </c>
      <c r="AM16" s="19">
        <f>IF(SUM(N7:Y7)=0,0,SUM(N15:Y15)/SUM(N7:Y7))</f>
        <v/>
      </c>
      <c r="AN16" s="19">
        <f>IF(SUM(Z7:AK7)=0,0,SUM(Z15:AK15)/SUM(Z7:AK7))</f>
        <v/>
      </c>
    </row>
    <row r="17">
      <c r="A17" t="inlineStr"/>
    </row>
    <row r="18">
      <c r="A18" t="inlineStr">
        <is>
          <t>Payroll</t>
        </is>
      </c>
      <c r="B18" s="5">
        <f>Headcount!C10</f>
        <v/>
      </c>
      <c r="C18" s="5">
        <f>Headcount!D10</f>
        <v/>
      </c>
      <c r="D18" s="5">
        <f>Headcount!E10</f>
        <v/>
      </c>
      <c r="E18" s="5">
        <f>Headcount!F10</f>
        <v/>
      </c>
      <c r="F18" s="5">
        <f>Headcount!G10</f>
        <v/>
      </c>
      <c r="G18" s="5">
        <f>Headcount!H10</f>
        <v/>
      </c>
      <c r="H18" s="5">
        <f>Headcount!I10</f>
        <v/>
      </c>
      <c r="I18" s="5">
        <f>Headcount!J10</f>
        <v/>
      </c>
      <c r="J18" s="5">
        <f>Headcount!K10</f>
        <v/>
      </c>
      <c r="K18" s="5">
        <f>Headcount!L10</f>
        <v/>
      </c>
      <c r="L18" s="5">
        <f>Headcount!M10</f>
        <v/>
      </c>
      <c r="M18" s="5">
        <f>Headcount!N10</f>
        <v/>
      </c>
      <c r="N18" s="5">
        <f>Headcount!O10</f>
        <v/>
      </c>
      <c r="O18" s="5">
        <f>Headcount!P10</f>
        <v/>
      </c>
      <c r="P18" s="5">
        <f>Headcount!Q10</f>
        <v/>
      </c>
      <c r="Q18" s="5">
        <f>Headcount!R10</f>
        <v/>
      </c>
      <c r="R18" s="5">
        <f>Headcount!S10</f>
        <v/>
      </c>
      <c r="S18" s="5">
        <f>Headcount!T10</f>
        <v/>
      </c>
      <c r="T18" s="5">
        <f>Headcount!U10</f>
        <v/>
      </c>
      <c r="U18" s="5">
        <f>Headcount!V10</f>
        <v/>
      </c>
      <c r="V18" s="5">
        <f>Headcount!W10</f>
        <v/>
      </c>
      <c r="W18" s="5">
        <f>Headcount!X10</f>
        <v/>
      </c>
      <c r="X18" s="5">
        <f>Headcount!Y10</f>
        <v/>
      </c>
      <c r="Y18" s="5">
        <f>Headcount!Z10</f>
        <v/>
      </c>
      <c r="Z18" s="5">
        <f>Headcount!AA10</f>
        <v/>
      </c>
      <c r="AA18" s="5">
        <f>Headcount!AB10</f>
        <v/>
      </c>
      <c r="AB18" s="5">
        <f>Headcount!AC10</f>
        <v/>
      </c>
      <c r="AC18" s="5">
        <f>Headcount!AD10</f>
        <v/>
      </c>
      <c r="AD18" s="5">
        <f>Headcount!AE10</f>
        <v/>
      </c>
      <c r="AE18" s="5">
        <f>Headcount!AF10</f>
        <v/>
      </c>
      <c r="AF18" s="5">
        <f>Headcount!AG10</f>
        <v/>
      </c>
      <c r="AG18" s="5">
        <f>Headcount!AH10</f>
        <v/>
      </c>
      <c r="AH18" s="5">
        <f>Headcount!AI10</f>
        <v/>
      </c>
      <c r="AI18" s="5">
        <f>Headcount!AJ10</f>
        <v/>
      </c>
      <c r="AJ18" s="5">
        <f>Headcount!AK10</f>
        <v/>
      </c>
      <c r="AK18" s="5">
        <f>Headcount!AL10</f>
        <v/>
      </c>
      <c r="AL18" s="18">
        <f>SUM(B18:M18)</f>
        <v/>
      </c>
      <c r="AM18" s="18">
        <f>SUM(N18:Y18)</f>
        <v/>
      </c>
      <c r="AN18" s="18">
        <f>SUM(Z18:AK18)</f>
        <v/>
      </c>
    </row>
    <row r="19">
      <c r="A19" t="inlineStr">
        <is>
          <t>Acquisition spend (new paying × CAC)</t>
        </is>
      </c>
      <c r="B19" s="5">
        <f>Customers!B4*Assumptions!$B$27</f>
        <v/>
      </c>
      <c r="C19" s="5">
        <f>Customers!C4*Assumptions!$B$27</f>
        <v/>
      </c>
      <c r="D19" s="5">
        <f>Customers!D4*Assumptions!$B$27</f>
        <v/>
      </c>
      <c r="E19" s="5">
        <f>Customers!E4*Assumptions!$B$27</f>
        <v/>
      </c>
      <c r="F19" s="5">
        <f>Customers!F4*Assumptions!$B$27</f>
        <v/>
      </c>
      <c r="G19" s="5">
        <f>Customers!G4*Assumptions!$B$27</f>
        <v/>
      </c>
      <c r="H19" s="5">
        <f>Customers!H4*Assumptions!$B$27</f>
        <v/>
      </c>
      <c r="I19" s="5">
        <f>Customers!I4*Assumptions!$B$27</f>
        <v/>
      </c>
      <c r="J19" s="5">
        <f>Customers!J4*Assumptions!$B$27</f>
        <v/>
      </c>
      <c r="K19" s="5">
        <f>Customers!K4*Assumptions!$B$27</f>
        <v/>
      </c>
      <c r="L19" s="5">
        <f>Customers!L4*Assumptions!$B$27</f>
        <v/>
      </c>
      <c r="M19" s="5">
        <f>Customers!M4*Assumptions!$B$27</f>
        <v/>
      </c>
      <c r="N19" s="5">
        <f>Customers!N4*Assumptions!$B$27</f>
        <v/>
      </c>
      <c r="O19" s="5">
        <f>Customers!O4*Assumptions!$B$27</f>
        <v/>
      </c>
      <c r="P19" s="5">
        <f>Customers!P4*Assumptions!$B$27</f>
        <v/>
      </c>
      <c r="Q19" s="5">
        <f>Customers!Q4*Assumptions!$B$27</f>
        <v/>
      </c>
      <c r="R19" s="5">
        <f>Customers!R4*Assumptions!$B$27</f>
        <v/>
      </c>
      <c r="S19" s="5">
        <f>Customers!S4*Assumptions!$B$27</f>
        <v/>
      </c>
      <c r="T19" s="5">
        <f>Customers!T4*Assumptions!$B$27</f>
        <v/>
      </c>
      <c r="U19" s="5">
        <f>Customers!U4*Assumptions!$B$27</f>
        <v/>
      </c>
      <c r="V19" s="5">
        <f>Customers!V4*Assumptions!$B$27</f>
        <v/>
      </c>
      <c r="W19" s="5">
        <f>Customers!W4*Assumptions!$B$27</f>
        <v/>
      </c>
      <c r="X19" s="5">
        <f>Customers!X4*Assumptions!$B$27</f>
        <v/>
      </c>
      <c r="Y19" s="5">
        <f>Customers!Y4*Assumptions!$B$27</f>
        <v/>
      </c>
      <c r="Z19" s="5">
        <f>Customers!Z4*Assumptions!$B$27</f>
        <v/>
      </c>
      <c r="AA19" s="5">
        <f>Customers!AA4*Assumptions!$B$27</f>
        <v/>
      </c>
      <c r="AB19" s="5">
        <f>Customers!AB4*Assumptions!$B$27</f>
        <v/>
      </c>
      <c r="AC19" s="5">
        <f>Customers!AC4*Assumptions!$B$27</f>
        <v/>
      </c>
      <c r="AD19" s="5">
        <f>Customers!AD4*Assumptions!$B$27</f>
        <v/>
      </c>
      <c r="AE19" s="5">
        <f>Customers!AE4*Assumptions!$B$27</f>
        <v/>
      </c>
      <c r="AF19" s="5">
        <f>Customers!AF4*Assumptions!$B$27</f>
        <v/>
      </c>
      <c r="AG19" s="5">
        <f>Customers!AG4*Assumptions!$B$27</f>
        <v/>
      </c>
      <c r="AH19" s="5">
        <f>Customers!AH4*Assumptions!$B$27</f>
        <v/>
      </c>
      <c r="AI19" s="5">
        <f>Customers!AI4*Assumptions!$B$27</f>
        <v/>
      </c>
      <c r="AJ19" s="5">
        <f>Customers!AJ4*Assumptions!$B$27</f>
        <v/>
      </c>
      <c r="AK19" s="5">
        <f>Customers!AK4*Assumptions!$B$27</f>
        <v/>
      </c>
      <c r="AL19" s="18">
        <f>SUM(B19:M19)</f>
        <v/>
      </c>
      <c r="AM19" s="18">
        <f>SUM(N19:Y19)</f>
        <v/>
      </c>
      <c r="AN19" s="18">
        <f>SUM(Z19:AK19)</f>
        <v/>
      </c>
    </row>
    <row r="20">
      <c r="A20" t="inlineStr">
        <is>
          <t>Marketing base</t>
        </is>
      </c>
      <c r="B20" s="5">
        <f>Assumptions!$B$43</f>
        <v/>
      </c>
      <c r="C20" s="5">
        <f>Assumptions!$B$43</f>
        <v/>
      </c>
      <c r="D20" s="5">
        <f>Assumptions!$B$43</f>
        <v/>
      </c>
      <c r="E20" s="5">
        <f>Assumptions!$B$43</f>
        <v/>
      </c>
      <c r="F20" s="5">
        <f>Assumptions!$B$43</f>
        <v/>
      </c>
      <c r="G20" s="5">
        <f>Assumptions!$B$43</f>
        <v/>
      </c>
      <c r="H20" s="5">
        <f>Assumptions!$B$43</f>
        <v/>
      </c>
      <c r="I20" s="5">
        <f>Assumptions!$B$43</f>
        <v/>
      </c>
      <c r="J20" s="5">
        <f>Assumptions!$B$43</f>
        <v/>
      </c>
      <c r="K20" s="5">
        <f>Assumptions!$B$43</f>
        <v/>
      </c>
      <c r="L20" s="5">
        <f>Assumptions!$B$43</f>
        <v/>
      </c>
      <c r="M20" s="5">
        <f>Assumptions!$B$43</f>
        <v/>
      </c>
      <c r="N20" s="5">
        <f>Assumptions!$B$43</f>
        <v/>
      </c>
      <c r="O20" s="5">
        <f>Assumptions!$B$43</f>
        <v/>
      </c>
      <c r="P20" s="5">
        <f>Assumptions!$B$43</f>
        <v/>
      </c>
      <c r="Q20" s="5">
        <f>Assumptions!$B$43</f>
        <v/>
      </c>
      <c r="R20" s="5">
        <f>Assumptions!$B$43</f>
        <v/>
      </c>
      <c r="S20" s="5">
        <f>Assumptions!$B$43</f>
        <v/>
      </c>
      <c r="T20" s="5">
        <f>Assumptions!$B$43</f>
        <v/>
      </c>
      <c r="U20" s="5">
        <f>Assumptions!$B$43</f>
        <v/>
      </c>
      <c r="V20" s="5">
        <f>Assumptions!$B$43</f>
        <v/>
      </c>
      <c r="W20" s="5">
        <f>Assumptions!$B$43</f>
        <v/>
      </c>
      <c r="X20" s="5">
        <f>Assumptions!$B$43</f>
        <v/>
      </c>
      <c r="Y20" s="5">
        <f>Assumptions!$B$43</f>
        <v/>
      </c>
      <c r="Z20" s="5">
        <f>Assumptions!$B$43</f>
        <v/>
      </c>
      <c r="AA20" s="5">
        <f>Assumptions!$B$43</f>
        <v/>
      </c>
      <c r="AB20" s="5">
        <f>Assumptions!$B$43</f>
        <v/>
      </c>
      <c r="AC20" s="5">
        <f>Assumptions!$B$43</f>
        <v/>
      </c>
      <c r="AD20" s="5">
        <f>Assumptions!$B$43</f>
        <v/>
      </c>
      <c r="AE20" s="5">
        <f>Assumptions!$B$43</f>
        <v/>
      </c>
      <c r="AF20" s="5">
        <f>Assumptions!$B$43</f>
        <v/>
      </c>
      <c r="AG20" s="5">
        <f>Assumptions!$B$43</f>
        <v/>
      </c>
      <c r="AH20" s="5">
        <f>Assumptions!$B$43</f>
        <v/>
      </c>
      <c r="AI20" s="5">
        <f>Assumptions!$B$43</f>
        <v/>
      </c>
      <c r="AJ20" s="5">
        <f>Assumptions!$B$43</f>
        <v/>
      </c>
      <c r="AK20" s="5">
        <f>Assumptions!$B$43</f>
        <v/>
      </c>
      <c r="AL20" s="18">
        <f>SUM(B20:M20)</f>
        <v/>
      </c>
      <c r="AM20" s="18">
        <f>SUM(N20:Y20)</f>
        <v/>
      </c>
      <c r="AN20" s="18">
        <f>SUM(Z20:AK20)</f>
        <v/>
      </c>
    </row>
    <row r="21">
      <c r="A21" t="inlineStr">
        <is>
          <t>Software &amp; tools</t>
        </is>
      </c>
      <c r="B21" s="5">
        <f>Assumptions!$B$40</f>
        <v/>
      </c>
      <c r="C21" s="5">
        <f>Assumptions!$B$40</f>
        <v/>
      </c>
      <c r="D21" s="5">
        <f>Assumptions!$B$40</f>
        <v/>
      </c>
      <c r="E21" s="5">
        <f>Assumptions!$B$40</f>
        <v/>
      </c>
      <c r="F21" s="5">
        <f>Assumptions!$B$40</f>
        <v/>
      </c>
      <c r="G21" s="5">
        <f>Assumptions!$B$40</f>
        <v/>
      </c>
      <c r="H21" s="5">
        <f>Assumptions!$B$40</f>
        <v/>
      </c>
      <c r="I21" s="5">
        <f>Assumptions!$B$40</f>
        <v/>
      </c>
      <c r="J21" s="5">
        <f>Assumptions!$B$40</f>
        <v/>
      </c>
      <c r="K21" s="5">
        <f>Assumptions!$B$40</f>
        <v/>
      </c>
      <c r="L21" s="5">
        <f>Assumptions!$B$40</f>
        <v/>
      </c>
      <c r="M21" s="5">
        <f>Assumptions!$B$40</f>
        <v/>
      </c>
      <c r="N21" s="5">
        <f>Assumptions!$B$40</f>
        <v/>
      </c>
      <c r="O21" s="5">
        <f>Assumptions!$B$40</f>
        <v/>
      </c>
      <c r="P21" s="5">
        <f>Assumptions!$B$40</f>
        <v/>
      </c>
      <c r="Q21" s="5">
        <f>Assumptions!$B$40</f>
        <v/>
      </c>
      <c r="R21" s="5">
        <f>Assumptions!$B$40</f>
        <v/>
      </c>
      <c r="S21" s="5">
        <f>Assumptions!$B$40</f>
        <v/>
      </c>
      <c r="T21" s="5">
        <f>Assumptions!$B$40</f>
        <v/>
      </c>
      <c r="U21" s="5">
        <f>Assumptions!$B$40</f>
        <v/>
      </c>
      <c r="V21" s="5">
        <f>Assumptions!$B$40</f>
        <v/>
      </c>
      <c r="W21" s="5">
        <f>Assumptions!$B$40</f>
        <v/>
      </c>
      <c r="X21" s="5">
        <f>Assumptions!$B$40</f>
        <v/>
      </c>
      <c r="Y21" s="5">
        <f>Assumptions!$B$40</f>
        <v/>
      </c>
      <c r="Z21" s="5">
        <f>Assumptions!$B$40</f>
        <v/>
      </c>
      <c r="AA21" s="5">
        <f>Assumptions!$B$40</f>
        <v/>
      </c>
      <c r="AB21" s="5">
        <f>Assumptions!$B$40</f>
        <v/>
      </c>
      <c r="AC21" s="5">
        <f>Assumptions!$B$40</f>
        <v/>
      </c>
      <c r="AD21" s="5">
        <f>Assumptions!$B$40</f>
        <v/>
      </c>
      <c r="AE21" s="5">
        <f>Assumptions!$B$40</f>
        <v/>
      </c>
      <c r="AF21" s="5">
        <f>Assumptions!$B$40</f>
        <v/>
      </c>
      <c r="AG21" s="5">
        <f>Assumptions!$B$40</f>
        <v/>
      </c>
      <c r="AH21" s="5">
        <f>Assumptions!$B$40</f>
        <v/>
      </c>
      <c r="AI21" s="5">
        <f>Assumptions!$B$40</f>
        <v/>
      </c>
      <c r="AJ21" s="5">
        <f>Assumptions!$B$40</f>
        <v/>
      </c>
      <c r="AK21" s="5">
        <f>Assumptions!$B$40</f>
        <v/>
      </c>
      <c r="AL21" s="18">
        <f>SUM(B21:M21)</f>
        <v/>
      </c>
      <c r="AM21" s="18">
        <f>SUM(N21:Y21)</f>
        <v/>
      </c>
      <c r="AN21" s="18">
        <f>SUM(Z21:AK21)</f>
        <v/>
      </c>
    </row>
    <row r="22">
      <c r="A22" t="inlineStr">
        <is>
          <t>Office &amp; admin</t>
        </is>
      </c>
      <c r="B22" s="5">
        <f>Assumptions!$B$41</f>
        <v/>
      </c>
      <c r="C22" s="5">
        <f>Assumptions!$B$41</f>
        <v/>
      </c>
      <c r="D22" s="5">
        <f>Assumptions!$B$41</f>
        <v/>
      </c>
      <c r="E22" s="5">
        <f>Assumptions!$B$41</f>
        <v/>
      </c>
      <c r="F22" s="5">
        <f>Assumptions!$B$41</f>
        <v/>
      </c>
      <c r="G22" s="5">
        <f>Assumptions!$B$41</f>
        <v/>
      </c>
      <c r="H22" s="5">
        <f>Assumptions!$B$41</f>
        <v/>
      </c>
      <c r="I22" s="5">
        <f>Assumptions!$B$41</f>
        <v/>
      </c>
      <c r="J22" s="5">
        <f>Assumptions!$B$41</f>
        <v/>
      </c>
      <c r="K22" s="5">
        <f>Assumptions!$B$41</f>
        <v/>
      </c>
      <c r="L22" s="5">
        <f>Assumptions!$B$41</f>
        <v/>
      </c>
      <c r="M22" s="5">
        <f>Assumptions!$B$41</f>
        <v/>
      </c>
      <c r="N22" s="5">
        <f>Assumptions!$B$41</f>
        <v/>
      </c>
      <c r="O22" s="5">
        <f>Assumptions!$B$41</f>
        <v/>
      </c>
      <c r="P22" s="5">
        <f>Assumptions!$B$41</f>
        <v/>
      </c>
      <c r="Q22" s="5">
        <f>Assumptions!$B$41</f>
        <v/>
      </c>
      <c r="R22" s="5">
        <f>Assumptions!$B$41</f>
        <v/>
      </c>
      <c r="S22" s="5">
        <f>Assumptions!$B$41</f>
        <v/>
      </c>
      <c r="T22" s="5">
        <f>Assumptions!$B$41</f>
        <v/>
      </c>
      <c r="U22" s="5">
        <f>Assumptions!$B$41</f>
        <v/>
      </c>
      <c r="V22" s="5">
        <f>Assumptions!$B$41</f>
        <v/>
      </c>
      <c r="W22" s="5">
        <f>Assumptions!$B$41</f>
        <v/>
      </c>
      <c r="X22" s="5">
        <f>Assumptions!$B$41</f>
        <v/>
      </c>
      <c r="Y22" s="5">
        <f>Assumptions!$B$41</f>
        <v/>
      </c>
      <c r="Z22" s="5">
        <f>Assumptions!$B$41</f>
        <v/>
      </c>
      <c r="AA22" s="5">
        <f>Assumptions!$B$41</f>
        <v/>
      </c>
      <c r="AB22" s="5">
        <f>Assumptions!$B$41</f>
        <v/>
      </c>
      <c r="AC22" s="5">
        <f>Assumptions!$B$41</f>
        <v/>
      </c>
      <c r="AD22" s="5">
        <f>Assumptions!$B$41</f>
        <v/>
      </c>
      <c r="AE22" s="5">
        <f>Assumptions!$B$41</f>
        <v/>
      </c>
      <c r="AF22" s="5">
        <f>Assumptions!$B$41</f>
        <v/>
      </c>
      <c r="AG22" s="5">
        <f>Assumptions!$B$41</f>
        <v/>
      </c>
      <c r="AH22" s="5">
        <f>Assumptions!$B$41</f>
        <v/>
      </c>
      <c r="AI22" s="5">
        <f>Assumptions!$B$41</f>
        <v/>
      </c>
      <c r="AJ22" s="5">
        <f>Assumptions!$B$41</f>
        <v/>
      </c>
      <c r="AK22" s="5">
        <f>Assumptions!$B$41</f>
        <v/>
      </c>
      <c r="AL22" s="18">
        <f>SUM(B22:M22)</f>
        <v/>
      </c>
      <c r="AM22" s="18">
        <f>SUM(N22:Y22)</f>
        <v/>
      </c>
      <c r="AN22" s="18">
        <f>SUM(Z22:AK22)</f>
        <v/>
      </c>
    </row>
    <row r="23">
      <c r="A23" t="inlineStr">
        <is>
          <t>Legal &amp; compliance</t>
        </is>
      </c>
      <c r="B23" s="5">
        <f>Assumptions!$B$42</f>
        <v/>
      </c>
      <c r="C23" s="5">
        <f>Assumptions!$B$42</f>
        <v/>
      </c>
      <c r="D23" s="5">
        <f>Assumptions!$B$42</f>
        <v/>
      </c>
      <c r="E23" s="5">
        <f>Assumptions!$B$42</f>
        <v/>
      </c>
      <c r="F23" s="5">
        <f>Assumptions!$B$42</f>
        <v/>
      </c>
      <c r="G23" s="5">
        <f>Assumptions!$B$42</f>
        <v/>
      </c>
      <c r="H23" s="5">
        <f>Assumptions!$B$42</f>
        <v/>
      </c>
      <c r="I23" s="5">
        <f>Assumptions!$B$42</f>
        <v/>
      </c>
      <c r="J23" s="5">
        <f>Assumptions!$B$42</f>
        <v/>
      </c>
      <c r="K23" s="5">
        <f>Assumptions!$B$42</f>
        <v/>
      </c>
      <c r="L23" s="5">
        <f>Assumptions!$B$42</f>
        <v/>
      </c>
      <c r="M23" s="5">
        <f>Assumptions!$B$42</f>
        <v/>
      </c>
      <c r="N23" s="5">
        <f>Assumptions!$B$42</f>
        <v/>
      </c>
      <c r="O23" s="5">
        <f>Assumptions!$B$42</f>
        <v/>
      </c>
      <c r="P23" s="5">
        <f>Assumptions!$B$42</f>
        <v/>
      </c>
      <c r="Q23" s="5">
        <f>Assumptions!$B$42</f>
        <v/>
      </c>
      <c r="R23" s="5">
        <f>Assumptions!$B$42</f>
        <v/>
      </c>
      <c r="S23" s="5">
        <f>Assumptions!$B$42</f>
        <v/>
      </c>
      <c r="T23" s="5">
        <f>Assumptions!$B$42</f>
        <v/>
      </c>
      <c r="U23" s="5">
        <f>Assumptions!$B$42</f>
        <v/>
      </c>
      <c r="V23" s="5">
        <f>Assumptions!$B$42</f>
        <v/>
      </c>
      <c r="W23" s="5">
        <f>Assumptions!$B$42</f>
        <v/>
      </c>
      <c r="X23" s="5">
        <f>Assumptions!$B$42</f>
        <v/>
      </c>
      <c r="Y23" s="5">
        <f>Assumptions!$B$42</f>
        <v/>
      </c>
      <c r="Z23" s="5">
        <f>Assumptions!$B$42</f>
        <v/>
      </c>
      <c r="AA23" s="5">
        <f>Assumptions!$B$42</f>
        <v/>
      </c>
      <c r="AB23" s="5">
        <f>Assumptions!$B$42</f>
        <v/>
      </c>
      <c r="AC23" s="5">
        <f>Assumptions!$B$42</f>
        <v/>
      </c>
      <c r="AD23" s="5">
        <f>Assumptions!$B$42</f>
        <v/>
      </c>
      <c r="AE23" s="5">
        <f>Assumptions!$B$42</f>
        <v/>
      </c>
      <c r="AF23" s="5">
        <f>Assumptions!$B$42</f>
        <v/>
      </c>
      <c r="AG23" s="5">
        <f>Assumptions!$B$42</f>
        <v/>
      </c>
      <c r="AH23" s="5">
        <f>Assumptions!$B$42</f>
        <v/>
      </c>
      <c r="AI23" s="5">
        <f>Assumptions!$B$42</f>
        <v/>
      </c>
      <c r="AJ23" s="5">
        <f>Assumptions!$B$42</f>
        <v/>
      </c>
      <c r="AK23" s="5">
        <f>Assumptions!$B$42</f>
        <v/>
      </c>
      <c r="AL23" s="18">
        <f>SUM(B23:M23)</f>
        <v/>
      </c>
      <c r="AM23" s="18">
        <f>SUM(N23:Y23)</f>
        <v/>
      </c>
      <c r="AN23" s="18">
        <f>SUM(Z23:AK23)</f>
        <v/>
      </c>
    </row>
    <row r="24">
      <c r="A24" s="4" t="inlineStr">
        <is>
          <t>TOTAL OPEX</t>
        </is>
      </c>
      <c r="B24" s="16">
        <f>SUM(B18:B23)</f>
        <v/>
      </c>
      <c r="C24" s="16">
        <f>SUM(C18:C23)</f>
        <v/>
      </c>
      <c r="D24" s="16">
        <f>SUM(D18:D23)</f>
        <v/>
      </c>
      <c r="E24" s="16">
        <f>SUM(E18:E23)</f>
        <v/>
      </c>
      <c r="F24" s="16">
        <f>SUM(F18:F23)</f>
        <v/>
      </c>
      <c r="G24" s="16">
        <f>SUM(G18:G23)</f>
        <v/>
      </c>
      <c r="H24" s="16">
        <f>SUM(H18:H23)</f>
        <v/>
      </c>
      <c r="I24" s="16">
        <f>SUM(I18:I23)</f>
        <v/>
      </c>
      <c r="J24" s="16">
        <f>SUM(J18:J23)</f>
        <v/>
      </c>
      <c r="K24" s="16">
        <f>SUM(K18:K23)</f>
        <v/>
      </c>
      <c r="L24" s="16">
        <f>SUM(L18:L23)</f>
        <v/>
      </c>
      <c r="M24" s="16">
        <f>SUM(M18:M23)</f>
        <v/>
      </c>
      <c r="N24" s="16">
        <f>SUM(N18:N23)</f>
        <v/>
      </c>
      <c r="O24" s="16">
        <f>SUM(O18:O23)</f>
        <v/>
      </c>
      <c r="P24" s="16">
        <f>SUM(P18:P23)</f>
        <v/>
      </c>
      <c r="Q24" s="16">
        <f>SUM(Q18:Q23)</f>
        <v/>
      </c>
      <c r="R24" s="16">
        <f>SUM(R18:R23)</f>
        <v/>
      </c>
      <c r="S24" s="16">
        <f>SUM(S18:S23)</f>
        <v/>
      </c>
      <c r="T24" s="16">
        <f>SUM(T18:T23)</f>
        <v/>
      </c>
      <c r="U24" s="16">
        <f>SUM(U18:U23)</f>
        <v/>
      </c>
      <c r="V24" s="16">
        <f>SUM(V18:V23)</f>
        <v/>
      </c>
      <c r="W24" s="16">
        <f>SUM(W18:W23)</f>
        <v/>
      </c>
      <c r="X24" s="16">
        <f>SUM(X18:X23)</f>
        <v/>
      </c>
      <c r="Y24" s="16">
        <f>SUM(Y18:Y23)</f>
        <v/>
      </c>
      <c r="Z24" s="16">
        <f>SUM(Z18:Z23)</f>
        <v/>
      </c>
      <c r="AA24" s="16">
        <f>SUM(AA18:AA23)</f>
        <v/>
      </c>
      <c r="AB24" s="16">
        <f>SUM(AB18:AB23)</f>
        <v/>
      </c>
      <c r="AC24" s="16">
        <f>SUM(AC18:AC23)</f>
        <v/>
      </c>
      <c r="AD24" s="16">
        <f>SUM(AD18:AD23)</f>
        <v/>
      </c>
      <c r="AE24" s="16">
        <f>SUM(AE18:AE23)</f>
        <v/>
      </c>
      <c r="AF24" s="16">
        <f>SUM(AF18:AF23)</f>
        <v/>
      </c>
      <c r="AG24" s="16">
        <f>SUM(AG18:AG23)</f>
        <v/>
      </c>
      <c r="AH24" s="16">
        <f>SUM(AH18:AH23)</f>
        <v/>
      </c>
      <c r="AI24" s="16">
        <f>SUM(AI18:AI23)</f>
        <v/>
      </c>
      <c r="AJ24" s="16">
        <f>SUM(AJ18:AJ23)</f>
        <v/>
      </c>
      <c r="AK24" s="16">
        <f>SUM(AK18:AK23)</f>
        <v/>
      </c>
      <c r="AL24" s="18">
        <f>SUM(B24:M24)</f>
        <v/>
      </c>
      <c r="AM24" s="18">
        <f>SUM(N24:Y24)</f>
        <v/>
      </c>
      <c r="AN24" s="18">
        <f>SUM(Z24:AK24)</f>
        <v/>
      </c>
    </row>
    <row r="25">
      <c r="A25" s="4" t="inlineStr">
        <is>
          <t>EBITDA</t>
        </is>
      </c>
      <c r="B25" s="16">
        <f>B15-B24</f>
        <v/>
      </c>
      <c r="C25" s="16">
        <f>C15-C24</f>
        <v/>
      </c>
      <c r="D25" s="16">
        <f>D15-D24</f>
        <v/>
      </c>
      <c r="E25" s="16">
        <f>E15-E24</f>
        <v/>
      </c>
      <c r="F25" s="16">
        <f>F15-F24</f>
        <v/>
      </c>
      <c r="G25" s="16">
        <f>G15-G24</f>
        <v/>
      </c>
      <c r="H25" s="16">
        <f>H15-H24</f>
        <v/>
      </c>
      <c r="I25" s="16">
        <f>I15-I24</f>
        <v/>
      </c>
      <c r="J25" s="16">
        <f>J15-J24</f>
        <v/>
      </c>
      <c r="K25" s="16">
        <f>K15-K24</f>
        <v/>
      </c>
      <c r="L25" s="16">
        <f>L15-L24</f>
        <v/>
      </c>
      <c r="M25" s="16">
        <f>M15-M24</f>
        <v/>
      </c>
      <c r="N25" s="16">
        <f>N15-N24</f>
        <v/>
      </c>
      <c r="O25" s="16">
        <f>O15-O24</f>
        <v/>
      </c>
      <c r="P25" s="16">
        <f>P15-P24</f>
        <v/>
      </c>
      <c r="Q25" s="16">
        <f>Q15-Q24</f>
        <v/>
      </c>
      <c r="R25" s="16">
        <f>R15-R24</f>
        <v/>
      </c>
      <c r="S25" s="16">
        <f>S15-S24</f>
        <v/>
      </c>
      <c r="T25" s="16">
        <f>T15-T24</f>
        <v/>
      </c>
      <c r="U25" s="16">
        <f>U15-U24</f>
        <v/>
      </c>
      <c r="V25" s="16">
        <f>V15-V24</f>
        <v/>
      </c>
      <c r="W25" s="16">
        <f>W15-W24</f>
        <v/>
      </c>
      <c r="X25" s="16">
        <f>X15-X24</f>
        <v/>
      </c>
      <c r="Y25" s="16">
        <f>Y15-Y24</f>
        <v/>
      </c>
      <c r="Z25" s="16">
        <f>Z15-Z24</f>
        <v/>
      </c>
      <c r="AA25" s="16">
        <f>AA15-AA24</f>
        <v/>
      </c>
      <c r="AB25" s="16">
        <f>AB15-AB24</f>
        <v/>
      </c>
      <c r="AC25" s="16">
        <f>AC15-AC24</f>
        <v/>
      </c>
      <c r="AD25" s="16">
        <f>AD15-AD24</f>
        <v/>
      </c>
      <c r="AE25" s="16">
        <f>AE15-AE24</f>
        <v/>
      </c>
      <c r="AF25" s="16">
        <f>AF15-AF24</f>
        <v/>
      </c>
      <c r="AG25" s="16">
        <f>AG15-AG24</f>
        <v/>
      </c>
      <c r="AH25" s="16">
        <f>AH15-AH24</f>
        <v/>
      </c>
      <c r="AI25" s="16">
        <f>AI15-AI24</f>
        <v/>
      </c>
      <c r="AJ25" s="16">
        <f>AJ15-AJ24</f>
        <v/>
      </c>
      <c r="AK25" s="16">
        <f>AK15-AK24</f>
        <v/>
      </c>
      <c r="AL25" s="18">
        <f>SUM(B25:M25)</f>
        <v/>
      </c>
      <c r="AM25" s="18">
        <f>SUM(N25:Y25)</f>
        <v/>
      </c>
      <c r="AN25" s="18">
        <f>SUM(Z25:AK25)</f>
        <v/>
      </c>
    </row>
    <row r="26">
      <c r="A26" t="inlineStr">
        <is>
          <t>EBITDA margin %</t>
        </is>
      </c>
      <c r="B26" s="7">
        <f>IF(B7=0,0,B25/B7)</f>
        <v/>
      </c>
      <c r="C26" s="7">
        <f>IF(C7=0,0,C25/C7)</f>
        <v/>
      </c>
      <c r="D26" s="7">
        <f>IF(D7=0,0,D25/D7)</f>
        <v/>
      </c>
      <c r="E26" s="7">
        <f>IF(E7=0,0,E25/E7)</f>
        <v/>
      </c>
      <c r="F26" s="7">
        <f>IF(F7=0,0,F25/F7)</f>
        <v/>
      </c>
      <c r="G26" s="7">
        <f>IF(G7=0,0,G25/G7)</f>
        <v/>
      </c>
      <c r="H26" s="7">
        <f>IF(H7=0,0,H25/H7)</f>
        <v/>
      </c>
      <c r="I26" s="7">
        <f>IF(I7=0,0,I25/I7)</f>
        <v/>
      </c>
      <c r="J26" s="7">
        <f>IF(J7=0,0,J25/J7)</f>
        <v/>
      </c>
      <c r="K26" s="7">
        <f>IF(K7=0,0,K25/K7)</f>
        <v/>
      </c>
      <c r="L26" s="7">
        <f>IF(L7=0,0,L25/L7)</f>
        <v/>
      </c>
      <c r="M26" s="7">
        <f>IF(M7=0,0,M25/M7)</f>
        <v/>
      </c>
      <c r="N26" s="7">
        <f>IF(N7=0,0,N25/N7)</f>
        <v/>
      </c>
      <c r="O26" s="7">
        <f>IF(O7=0,0,O25/O7)</f>
        <v/>
      </c>
      <c r="P26" s="7">
        <f>IF(P7=0,0,P25/P7)</f>
        <v/>
      </c>
      <c r="Q26" s="7">
        <f>IF(Q7=0,0,Q25/Q7)</f>
        <v/>
      </c>
      <c r="R26" s="7">
        <f>IF(R7=0,0,R25/R7)</f>
        <v/>
      </c>
      <c r="S26" s="7">
        <f>IF(S7=0,0,S25/S7)</f>
        <v/>
      </c>
      <c r="T26" s="7">
        <f>IF(T7=0,0,T25/T7)</f>
        <v/>
      </c>
      <c r="U26" s="7">
        <f>IF(U7=0,0,U25/U7)</f>
        <v/>
      </c>
      <c r="V26" s="7">
        <f>IF(V7=0,0,V25/V7)</f>
        <v/>
      </c>
      <c r="W26" s="7">
        <f>IF(W7=0,0,W25/W7)</f>
        <v/>
      </c>
      <c r="X26" s="7">
        <f>IF(X7=0,0,X25/X7)</f>
        <v/>
      </c>
      <c r="Y26" s="7">
        <f>IF(Y7=0,0,Y25/Y7)</f>
        <v/>
      </c>
      <c r="Z26" s="7">
        <f>IF(Z7=0,0,Z25/Z7)</f>
        <v/>
      </c>
      <c r="AA26" s="7">
        <f>IF(AA7=0,0,AA25/AA7)</f>
        <v/>
      </c>
      <c r="AB26" s="7">
        <f>IF(AB7=0,0,AB25/AB7)</f>
        <v/>
      </c>
      <c r="AC26" s="7">
        <f>IF(AC7=0,0,AC25/AC7)</f>
        <v/>
      </c>
      <c r="AD26" s="7">
        <f>IF(AD7=0,0,AD25/AD7)</f>
        <v/>
      </c>
      <c r="AE26" s="7">
        <f>IF(AE7=0,0,AE25/AE7)</f>
        <v/>
      </c>
      <c r="AF26" s="7">
        <f>IF(AF7=0,0,AF25/AF7)</f>
        <v/>
      </c>
      <c r="AG26" s="7">
        <f>IF(AG7=0,0,AG25/AG7)</f>
        <v/>
      </c>
      <c r="AH26" s="7">
        <f>IF(AH7=0,0,AH25/AH7)</f>
        <v/>
      </c>
      <c r="AI26" s="7">
        <f>IF(AI7=0,0,AI25/AI7)</f>
        <v/>
      </c>
      <c r="AJ26" s="7">
        <f>IF(AJ7=0,0,AJ25/AJ7)</f>
        <v/>
      </c>
      <c r="AK26" s="7">
        <f>IF(AK7=0,0,AK25/AK7)</f>
        <v/>
      </c>
      <c r="AL26" s="19">
        <f>IF(SUM(B7:M7)=0,0,SUM(B25:M25)/SUM(B7:M7))</f>
        <v/>
      </c>
      <c r="AM26" s="19">
        <f>IF(SUM(N7:Y7)=0,0,SUM(N25:Y25)/SUM(N7:Y7))</f>
        <v/>
      </c>
      <c r="AN26" s="19">
        <f>IF(SUM(Z7:AK7)=0,0,SUM(Z25:AK25)/SUM(Z7:AK7))</f>
        <v/>
      </c>
    </row>
    <row r="27">
      <c r="A27" t="inlineStr"/>
    </row>
    <row r="28">
      <c r="A28" s="4" t="inlineStr">
        <is>
          <t>MRR (end of month)</t>
        </is>
      </c>
      <c r="B28" s="16">
        <f>B7</f>
        <v/>
      </c>
      <c r="C28" s="16">
        <f>C7</f>
        <v/>
      </c>
      <c r="D28" s="16">
        <f>D7</f>
        <v/>
      </c>
      <c r="E28" s="16">
        <f>E7</f>
        <v/>
      </c>
      <c r="F28" s="16">
        <f>F7</f>
        <v/>
      </c>
      <c r="G28" s="16">
        <f>G7</f>
        <v/>
      </c>
      <c r="H28" s="16">
        <f>H7</f>
        <v/>
      </c>
      <c r="I28" s="16">
        <f>I7</f>
        <v/>
      </c>
      <c r="J28" s="16">
        <f>J7</f>
        <v/>
      </c>
      <c r="K28" s="16">
        <f>K7</f>
        <v/>
      </c>
      <c r="L28" s="16">
        <f>L7</f>
        <v/>
      </c>
      <c r="M28" s="16">
        <f>M7</f>
        <v/>
      </c>
      <c r="N28" s="16">
        <f>N7</f>
        <v/>
      </c>
      <c r="O28" s="16">
        <f>O7</f>
        <v/>
      </c>
      <c r="P28" s="16">
        <f>P7</f>
        <v/>
      </c>
      <c r="Q28" s="16">
        <f>Q7</f>
        <v/>
      </c>
      <c r="R28" s="16">
        <f>R7</f>
        <v/>
      </c>
      <c r="S28" s="16">
        <f>S7</f>
        <v/>
      </c>
      <c r="T28" s="16">
        <f>T7</f>
        <v/>
      </c>
      <c r="U28" s="16">
        <f>U7</f>
        <v/>
      </c>
      <c r="V28" s="16">
        <f>V7</f>
        <v/>
      </c>
      <c r="W28" s="16">
        <f>W7</f>
        <v/>
      </c>
      <c r="X28" s="16">
        <f>X7</f>
        <v/>
      </c>
      <c r="Y28" s="16">
        <f>Y7</f>
        <v/>
      </c>
      <c r="Z28" s="16">
        <f>Z7</f>
        <v/>
      </c>
      <c r="AA28" s="16">
        <f>AA7</f>
        <v/>
      </c>
      <c r="AB28" s="16">
        <f>AB7</f>
        <v/>
      </c>
      <c r="AC28" s="16">
        <f>AC7</f>
        <v/>
      </c>
      <c r="AD28" s="16">
        <f>AD7</f>
        <v/>
      </c>
      <c r="AE28" s="16">
        <f>AE7</f>
        <v/>
      </c>
      <c r="AF28" s="16">
        <f>AF7</f>
        <v/>
      </c>
      <c r="AG28" s="16">
        <f>AG7</f>
        <v/>
      </c>
      <c r="AH28" s="16">
        <f>AH7</f>
        <v/>
      </c>
      <c r="AI28" s="16">
        <f>AI7</f>
        <v/>
      </c>
      <c r="AJ28" s="16">
        <f>AJ7</f>
        <v/>
      </c>
      <c r="AK28" s="16">
        <f>AK7</f>
        <v/>
      </c>
      <c r="AL28" s="18">
        <f>M28</f>
        <v/>
      </c>
      <c r="AM28" s="18">
        <f>Y28</f>
        <v/>
      </c>
      <c r="AN28" s="18">
        <f>AK28</f>
        <v/>
      </c>
    </row>
    <row r="29">
      <c r="A29" s="4" t="inlineStr">
        <is>
          <t>ARR run-rate</t>
        </is>
      </c>
      <c r="B29" s="16">
        <f>B28*12</f>
        <v/>
      </c>
      <c r="C29" s="16">
        <f>C28*12</f>
        <v/>
      </c>
      <c r="D29" s="16">
        <f>D28*12</f>
        <v/>
      </c>
      <c r="E29" s="16">
        <f>E28*12</f>
        <v/>
      </c>
      <c r="F29" s="16">
        <f>F28*12</f>
        <v/>
      </c>
      <c r="G29" s="16">
        <f>G28*12</f>
        <v/>
      </c>
      <c r="H29" s="16">
        <f>H28*12</f>
        <v/>
      </c>
      <c r="I29" s="16">
        <f>I28*12</f>
        <v/>
      </c>
      <c r="J29" s="16">
        <f>J28*12</f>
        <v/>
      </c>
      <c r="K29" s="16">
        <f>K28*12</f>
        <v/>
      </c>
      <c r="L29" s="16">
        <f>L28*12</f>
        <v/>
      </c>
      <c r="M29" s="16">
        <f>M28*12</f>
        <v/>
      </c>
      <c r="N29" s="16">
        <f>N28*12</f>
        <v/>
      </c>
      <c r="O29" s="16">
        <f>O28*12</f>
        <v/>
      </c>
      <c r="P29" s="16">
        <f>P28*12</f>
        <v/>
      </c>
      <c r="Q29" s="16">
        <f>Q28*12</f>
        <v/>
      </c>
      <c r="R29" s="16">
        <f>R28*12</f>
        <v/>
      </c>
      <c r="S29" s="16">
        <f>S28*12</f>
        <v/>
      </c>
      <c r="T29" s="16">
        <f>T28*12</f>
        <v/>
      </c>
      <c r="U29" s="16">
        <f>U28*12</f>
        <v/>
      </c>
      <c r="V29" s="16">
        <f>V28*12</f>
        <v/>
      </c>
      <c r="W29" s="16">
        <f>W28*12</f>
        <v/>
      </c>
      <c r="X29" s="16">
        <f>X28*12</f>
        <v/>
      </c>
      <c r="Y29" s="16">
        <f>Y28*12</f>
        <v/>
      </c>
      <c r="Z29" s="16">
        <f>Z28*12</f>
        <v/>
      </c>
      <c r="AA29" s="16">
        <f>AA28*12</f>
        <v/>
      </c>
      <c r="AB29" s="16">
        <f>AB28*12</f>
        <v/>
      </c>
      <c r="AC29" s="16">
        <f>AC28*12</f>
        <v/>
      </c>
      <c r="AD29" s="16">
        <f>AD28*12</f>
        <v/>
      </c>
      <c r="AE29" s="16">
        <f>AE28*12</f>
        <v/>
      </c>
      <c r="AF29" s="16">
        <f>AF28*12</f>
        <v/>
      </c>
      <c r="AG29" s="16">
        <f>AG28*12</f>
        <v/>
      </c>
      <c r="AH29" s="16">
        <f>AH28*12</f>
        <v/>
      </c>
      <c r="AI29" s="16">
        <f>AI28*12</f>
        <v/>
      </c>
      <c r="AJ29" s="16">
        <f>AJ28*12</f>
        <v/>
      </c>
      <c r="AK29" s="16">
        <f>AK28*12</f>
        <v/>
      </c>
      <c r="AL29" s="18">
        <f>M29</f>
        <v/>
      </c>
      <c r="AM29" s="18">
        <f>Y29</f>
        <v/>
      </c>
      <c r="AN29" s="18">
        <f>AK29</f>
        <v/>
      </c>
    </row>
    <row r="30">
      <c r="A30" t="inlineStr">
        <is>
          <t>Cumulative EBITDA</t>
        </is>
      </c>
      <c r="B30" s="5">
        <f>B25</f>
        <v/>
      </c>
      <c r="C30" s="5">
        <f>B30+C25</f>
        <v/>
      </c>
      <c r="D30" s="5">
        <f>C30+D25</f>
        <v/>
      </c>
      <c r="E30" s="5">
        <f>D30+E25</f>
        <v/>
      </c>
      <c r="F30" s="5">
        <f>E30+F25</f>
        <v/>
      </c>
      <c r="G30" s="5">
        <f>F30+G25</f>
        <v/>
      </c>
      <c r="H30" s="5">
        <f>G30+H25</f>
        <v/>
      </c>
      <c r="I30" s="5">
        <f>H30+I25</f>
        <v/>
      </c>
      <c r="J30" s="5">
        <f>I30+J25</f>
        <v/>
      </c>
      <c r="K30" s="5">
        <f>J30+K25</f>
        <v/>
      </c>
      <c r="L30" s="5">
        <f>K30+L25</f>
        <v/>
      </c>
      <c r="M30" s="5">
        <f>L30+M25</f>
        <v/>
      </c>
      <c r="N30" s="5">
        <f>M30+N25</f>
        <v/>
      </c>
      <c r="O30" s="5">
        <f>N30+O25</f>
        <v/>
      </c>
      <c r="P30" s="5">
        <f>O30+P25</f>
        <v/>
      </c>
      <c r="Q30" s="5">
        <f>P30+Q25</f>
        <v/>
      </c>
      <c r="R30" s="5">
        <f>Q30+R25</f>
        <v/>
      </c>
      <c r="S30" s="5">
        <f>R30+S25</f>
        <v/>
      </c>
      <c r="T30" s="5">
        <f>S30+T25</f>
        <v/>
      </c>
      <c r="U30" s="5">
        <f>T30+U25</f>
        <v/>
      </c>
      <c r="V30" s="5">
        <f>U30+V25</f>
        <v/>
      </c>
      <c r="W30" s="5">
        <f>V30+W25</f>
        <v/>
      </c>
      <c r="X30" s="5">
        <f>W30+X25</f>
        <v/>
      </c>
      <c r="Y30" s="5">
        <f>X30+Y25</f>
        <v/>
      </c>
      <c r="Z30" s="5">
        <f>Y30+Z25</f>
        <v/>
      </c>
      <c r="AA30" s="5">
        <f>Z30+AA25</f>
        <v/>
      </c>
      <c r="AB30" s="5">
        <f>AA30+AB25</f>
        <v/>
      </c>
      <c r="AC30" s="5">
        <f>AB30+AC25</f>
        <v/>
      </c>
      <c r="AD30" s="5">
        <f>AC30+AD25</f>
        <v/>
      </c>
      <c r="AE30" s="5">
        <f>AD30+AE25</f>
        <v/>
      </c>
      <c r="AF30" s="5">
        <f>AE30+AF25</f>
        <v/>
      </c>
      <c r="AG30" s="5">
        <f>AF30+AG25</f>
        <v/>
      </c>
      <c r="AH30" s="5">
        <f>AG30+AH25</f>
        <v/>
      </c>
      <c r="AI30" s="5">
        <f>AH30+AI25</f>
        <v/>
      </c>
      <c r="AJ30" s="5">
        <f>AI30+AJ25</f>
        <v/>
      </c>
      <c r="AK30" s="5">
        <f>AJ30+AK25</f>
        <v/>
      </c>
      <c r="AL30" s="18">
        <f>M30</f>
        <v/>
      </c>
      <c r="AM30" s="18">
        <f>Y30</f>
        <v/>
      </c>
      <c r="AN30" s="18">
        <f>AK30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SAR</t>
        </is>
      </c>
      <c r="B1" s="3" t="inlineStr">
        <is>
          <t>Oct-26</t>
        </is>
      </c>
      <c r="C1" s="3" t="inlineStr">
        <is>
          <t>Nov-26</t>
        </is>
      </c>
      <c r="D1" s="3" t="inlineStr">
        <is>
          <t>Dec-26</t>
        </is>
      </c>
      <c r="E1" s="3" t="inlineStr">
        <is>
          <t>Jan-27</t>
        </is>
      </c>
      <c r="F1" s="3" t="inlineStr">
        <is>
          <t>Feb-27</t>
        </is>
      </c>
      <c r="G1" s="3" t="inlineStr">
        <is>
          <t>Mar-27</t>
        </is>
      </c>
      <c r="H1" s="3" t="inlineStr">
        <is>
          <t>Apr-27</t>
        </is>
      </c>
      <c r="I1" s="3" t="inlineStr">
        <is>
          <t>May-27</t>
        </is>
      </c>
      <c r="J1" s="3" t="inlineStr">
        <is>
          <t>Jun-27</t>
        </is>
      </c>
      <c r="K1" s="3" t="inlineStr">
        <is>
          <t>Jul-27</t>
        </is>
      </c>
      <c r="L1" s="3" t="inlineStr">
        <is>
          <t>Aug-27</t>
        </is>
      </c>
      <c r="M1" s="3" t="inlineStr">
        <is>
          <t>Sep-27</t>
        </is>
      </c>
      <c r="N1" s="3" t="inlineStr">
        <is>
          <t>Oct-27</t>
        </is>
      </c>
      <c r="O1" s="3" t="inlineStr">
        <is>
          <t>Nov-27</t>
        </is>
      </c>
      <c r="P1" s="3" t="inlineStr">
        <is>
          <t>Dec-27</t>
        </is>
      </c>
      <c r="Q1" s="3" t="inlineStr">
        <is>
          <t>Jan-28</t>
        </is>
      </c>
      <c r="R1" s="3" t="inlineStr">
        <is>
          <t>Feb-28</t>
        </is>
      </c>
      <c r="S1" s="3" t="inlineStr">
        <is>
          <t>Mar-28</t>
        </is>
      </c>
      <c r="T1" s="3" t="inlineStr">
        <is>
          <t>Apr-28</t>
        </is>
      </c>
      <c r="U1" s="3" t="inlineStr">
        <is>
          <t>May-28</t>
        </is>
      </c>
      <c r="V1" s="3" t="inlineStr">
        <is>
          <t>Jun-28</t>
        </is>
      </c>
      <c r="W1" s="3" t="inlineStr">
        <is>
          <t>Jul-28</t>
        </is>
      </c>
      <c r="X1" s="3" t="inlineStr">
        <is>
          <t>Aug-28</t>
        </is>
      </c>
      <c r="Y1" s="3" t="inlineStr">
        <is>
          <t>Sep-28</t>
        </is>
      </c>
      <c r="Z1" s="3" t="inlineStr">
        <is>
          <t>Oct-28</t>
        </is>
      </c>
      <c r="AA1" s="3" t="inlineStr">
        <is>
          <t>Nov-28</t>
        </is>
      </c>
      <c r="AB1" s="3" t="inlineStr">
        <is>
          <t>Dec-28</t>
        </is>
      </c>
      <c r="AC1" s="3" t="inlineStr">
        <is>
          <t>Jan-29</t>
        </is>
      </c>
      <c r="AD1" s="3" t="inlineStr">
        <is>
          <t>Feb-29</t>
        </is>
      </c>
      <c r="AE1" s="3" t="inlineStr">
        <is>
          <t>Mar-29</t>
        </is>
      </c>
      <c r="AF1" s="3" t="inlineStr">
        <is>
          <t>Apr-29</t>
        </is>
      </c>
      <c r="AG1" s="3" t="inlineStr">
        <is>
          <t>May-29</t>
        </is>
      </c>
      <c r="AH1" s="3" t="inlineStr">
        <is>
          <t>Jun-29</t>
        </is>
      </c>
      <c r="AI1" s="3" t="inlineStr">
        <is>
          <t>Jul-29</t>
        </is>
      </c>
      <c r="AJ1" s="3" t="inlineStr">
        <is>
          <t>Aug-29</t>
        </is>
      </c>
      <c r="AK1" s="3" t="inlineStr">
        <is>
          <t>Sep-29</t>
        </is>
      </c>
    </row>
    <row r="2">
      <c r="A2" s="6" t="inlineStr">
        <is>
          <t>Opening cash</t>
        </is>
      </c>
      <c r="B2" s="5">
        <f>Assumptions!$B$56</f>
        <v/>
      </c>
      <c r="C2" s="5">
        <f>B5</f>
        <v/>
      </c>
      <c r="D2" s="5">
        <f>C5</f>
        <v/>
      </c>
      <c r="E2" s="5">
        <f>D5</f>
        <v/>
      </c>
      <c r="F2" s="5">
        <f>E5</f>
        <v/>
      </c>
      <c r="G2" s="5">
        <f>F5</f>
        <v/>
      </c>
      <c r="H2" s="5">
        <f>G5</f>
        <v/>
      </c>
      <c r="I2" s="5">
        <f>H5</f>
        <v/>
      </c>
      <c r="J2" s="5">
        <f>I5</f>
        <v/>
      </c>
      <c r="K2" s="5">
        <f>J5</f>
        <v/>
      </c>
      <c r="L2" s="5">
        <f>K5</f>
        <v/>
      </c>
      <c r="M2" s="5">
        <f>L5</f>
        <v/>
      </c>
      <c r="N2" s="5">
        <f>M5</f>
        <v/>
      </c>
      <c r="O2" s="5">
        <f>N5</f>
        <v/>
      </c>
      <c r="P2" s="5">
        <f>O5</f>
        <v/>
      </c>
      <c r="Q2" s="5">
        <f>P5</f>
        <v/>
      </c>
      <c r="R2" s="5">
        <f>Q5</f>
        <v/>
      </c>
      <c r="S2" s="5">
        <f>R5</f>
        <v/>
      </c>
      <c r="T2" s="5">
        <f>S5</f>
        <v/>
      </c>
      <c r="U2" s="5">
        <f>T5</f>
        <v/>
      </c>
      <c r="V2" s="5">
        <f>U5</f>
        <v/>
      </c>
      <c r="W2" s="5">
        <f>V5</f>
        <v/>
      </c>
      <c r="X2" s="5">
        <f>W5</f>
        <v/>
      </c>
      <c r="Y2" s="5">
        <f>X5</f>
        <v/>
      </c>
      <c r="Z2" s="5">
        <f>Y5</f>
        <v/>
      </c>
      <c r="AA2" s="5">
        <f>Z5</f>
        <v/>
      </c>
      <c r="AB2" s="5">
        <f>AA5</f>
        <v/>
      </c>
      <c r="AC2" s="5">
        <f>AB5</f>
        <v/>
      </c>
      <c r="AD2" s="5">
        <f>AC5</f>
        <v/>
      </c>
      <c r="AE2" s="5">
        <f>AD5</f>
        <v/>
      </c>
      <c r="AF2" s="5">
        <f>AE5</f>
        <v/>
      </c>
      <c r="AG2" s="5">
        <f>AF5</f>
        <v/>
      </c>
      <c r="AH2" s="5">
        <f>AG5</f>
        <v/>
      </c>
      <c r="AI2" s="5">
        <f>AH5</f>
        <v/>
      </c>
      <c r="AJ2" s="5">
        <f>AI5</f>
        <v/>
      </c>
      <c r="AK2" s="5">
        <f>AJ5</f>
        <v/>
      </c>
    </row>
    <row r="3">
      <c r="A3" s="6" t="inlineStr">
        <is>
          <t>EBITDA</t>
        </is>
      </c>
      <c r="B3" s="5">
        <f>'P&amp;L'!B25</f>
        <v/>
      </c>
      <c r="C3" s="5">
        <f>'P&amp;L'!C25</f>
        <v/>
      </c>
      <c r="D3" s="5">
        <f>'P&amp;L'!D25</f>
        <v/>
      </c>
      <c r="E3" s="5">
        <f>'P&amp;L'!E25</f>
        <v/>
      </c>
      <c r="F3" s="5">
        <f>'P&amp;L'!F25</f>
        <v/>
      </c>
      <c r="G3" s="5">
        <f>'P&amp;L'!G25</f>
        <v/>
      </c>
      <c r="H3" s="5">
        <f>'P&amp;L'!H25</f>
        <v/>
      </c>
      <c r="I3" s="5">
        <f>'P&amp;L'!I25</f>
        <v/>
      </c>
      <c r="J3" s="5">
        <f>'P&amp;L'!J25</f>
        <v/>
      </c>
      <c r="K3" s="5">
        <f>'P&amp;L'!K25</f>
        <v/>
      </c>
      <c r="L3" s="5">
        <f>'P&amp;L'!L25</f>
        <v/>
      </c>
      <c r="M3" s="5">
        <f>'P&amp;L'!M25</f>
        <v/>
      </c>
      <c r="N3" s="5">
        <f>'P&amp;L'!N25</f>
        <v/>
      </c>
      <c r="O3" s="5">
        <f>'P&amp;L'!O25</f>
        <v/>
      </c>
      <c r="P3" s="5">
        <f>'P&amp;L'!P25</f>
        <v/>
      </c>
      <c r="Q3" s="5">
        <f>'P&amp;L'!Q25</f>
        <v/>
      </c>
      <c r="R3" s="5">
        <f>'P&amp;L'!R25</f>
        <v/>
      </c>
      <c r="S3" s="5">
        <f>'P&amp;L'!S25</f>
        <v/>
      </c>
      <c r="T3" s="5">
        <f>'P&amp;L'!T25</f>
        <v/>
      </c>
      <c r="U3" s="5">
        <f>'P&amp;L'!U25</f>
        <v/>
      </c>
      <c r="V3" s="5">
        <f>'P&amp;L'!V25</f>
        <v/>
      </c>
      <c r="W3" s="5">
        <f>'P&amp;L'!W25</f>
        <v/>
      </c>
      <c r="X3" s="5">
        <f>'P&amp;L'!X25</f>
        <v/>
      </c>
      <c r="Y3" s="5">
        <f>'P&amp;L'!Y25</f>
        <v/>
      </c>
      <c r="Z3" s="5">
        <f>'P&amp;L'!Z25</f>
        <v/>
      </c>
      <c r="AA3" s="5">
        <f>'P&amp;L'!AA25</f>
        <v/>
      </c>
      <c r="AB3" s="5">
        <f>'P&amp;L'!AB25</f>
        <v/>
      </c>
      <c r="AC3" s="5">
        <f>'P&amp;L'!AC25</f>
        <v/>
      </c>
      <c r="AD3" s="5">
        <f>'P&amp;L'!AD25</f>
        <v/>
      </c>
      <c r="AE3" s="5">
        <f>'P&amp;L'!AE25</f>
        <v/>
      </c>
      <c r="AF3" s="5">
        <f>'P&amp;L'!AF25</f>
        <v/>
      </c>
      <c r="AG3" s="5">
        <f>'P&amp;L'!AG25</f>
        <v/>
      </c>
      <c r="AH3" s="5">
        <f>'P&amp;L'!AH25</f>
        <v/>
      </c>
      <c r="AI3" s="5">
        <f>'P&amp;L'!AI25</f>
        <v/>
      </c>
      <c r="AJ3" s="5">
        <f>'P&amp;L'!AJ25</f>
        <v/>
      </c>
      <c r="AK3" s="5">
        <f>'P&amp;L'!AK25</f>
        <v/>
      </c>
    </row>
    <row r="4">
      <c r="A4" s="6" t="inlineStr">
        <is>
          <t>Equity raised</t>
        </is>
      </c>
      <c r="B4" s="5">
        <f>IF(1=Assumptions!$B$58,Assumptions!$B$57,0)</f>
        <v/>
      </c>
      <c r="C4" s="5">
        <f>IF(2=Assumptions!$B$58,Assumptions!$B$57,0)</f>
        <v/>
      </c>
      <c r="D4" s="5">
        <f>IF(3=Assumptions!$B$58,Assumptions!$B$57,0)</f>
        <v/>
      </c>
      <c r="E4" s="5">
        <f>IF(4=Assumptions!$B$58,Assumptions!$B$57,0)</f>
        <v/>
      </c>
      <c r="F4" s="5">
        <f>IF(5=Assumptions!$B$58,Assumptions!$B$57,0)</f>
        <v/>
      </c>
      <c r="G4" s="5">
        <f>IF(6=Assumptions!$B$58,Assumptions!$B$57,0)</f>
        <v/>
      </c>
      <c r="H4" s="5">
        <f>IF(7=Assumptions!$B$58,Assumptions!$B$57,0)</f>
        <v/>
      </c>
      <c r="I4" s="5">
        <f>IF(8=Assumptions!$B$58,Assumptions!$B$57,0)</f>
        <v/>
      </c>
      <c r="J4" s="5">
        <f>IF(9=Assumptions!$B$58,Assumptions!$B$57,0)</f>
        <v/>
      </c>
      <c r="K4" s="5">
        <f>IF(10=Assumptions!$B$58,Assumptions!$B$57,0)</f>
        <v/>
      </c>
      <c r="L4" s="5">
        <f>IF(11=Assumptions!$B$58,Assumptions!$B$57,0)</f>
        <v/>
      </c>
      <c r="M4" s="5">
        <f>IF(12=Assumptions!$B$58,Assumptions!$B$57,0)</f>
        <v/>
      </c>
      <c r="N4" s="5">
        <f>IF(13=Assumptions!$B$58,Assumptions!$B$57,0)</f>
        <v/>
      </c>
      <c r="O4" s="5">
        <f>IF(14=Assumptions!$B$58,Assumptions!$B$57,0)</f>
        <v/>
      </c>
      <c r="P4" s="5">
        <f>IF(15=Assumptions!$B$58,Assumptions!$B$57,0)</f>
        <v/>
      </c>
      <c r="Q4" s="5">
        <f>IF(16=Assumptions!$B$58,Assumptions!$B$57,0)</f>
        <v/>
      </c>
      <c r="R4" s="5">
        <f>IF(17=Assumptions!$B$58,Assumptions!$B$57,0)</f>
        <v/>
      </c>
      <c r="S4" s="5">
        <f>IF(18=Assumptions!$B$58,Assumptions!$B$57,0)</f>
        <v/>
      </c>
      <c r="T4" s="5">
        <f>IF(19=Assumptions!$B$58,Assumptions!$B$57,0)</f>
        <v/>
      </c>
      <c r="U4" s="5">
        <f>IF(20=Assumptions!$B$58,Assumptions!$B$57,0)</f>
        <v/>
      </c>
      <c r="V4" s="5">
        <f>IF(21=Assumptions!$B$58,Assumptions!$B$57,0)</f>
        <v/>
      </c>
      <c r="W4" s="5">
        <f>IF(22=Assumptions!$B$58,Assumptions!$B$57,0)</f>
        <v/>
      </c>
      <c r="X4" s="5">
        <f>IF(23=Assumptions!$B$58,Assumptions!$B$57,0)</f>
        <v/>
      </c>
      <c r="Y4" s="5">
        <f>IF(24=Assumptions!$B$58,Assumptions!$B$57,0)</f>
        <v/>
      </c>
      <c r="Z4" s="5">
        <f>IF(25=Assumptions!$B$58,Assumptions!$B$57,0)</f>
        <v/>
      </c>
      <c r="AA4" s="5">
        <f>IF(26=Assumptions!$B$58,Assumptions!$B$57,0)</f>
        <v/>
      </c>
      <c r="AB4" s="5">
        <f>IF(27=Assumptions!$B$58,Assumptions!$B$57,0)</f>
        <v/>
      </c>
      <c r="AC4" s="5">
        <f>IF(28=Assumptions!$B$58,Assumptions!$B$57,0)</f>
        <v/>
      </c>
      <c r="AD4" s="5">
        <f>IF(29=Assumptions!$B$58,Assumptions!$B$57,0)</f>
        <v/>
      </c>
      <c r="AE4" s="5">
        <f>IF(30=Assumptions!$B$58,Assumptions!$B$57,0)</f>
        <v/>
      </c>
      <c r="AF4" s="5">
        <f>IF(31=Assumptions!$B$58,Assumptions!$B$57,0)</f>
        <v/>
      </c>
      <c r="AG4" s="5">
        <f>IF(32=Assumptions!$B$58,Assumptions!$B$57,0)</f>
        <v/>
      </c>
      <c r="AH4" s="5">
        <f>IF(33=Assumptions!$B$58,Assumptions!$B$57,0)</f>
        <v/>
      </c>
      <c r="AI4" s="5">
        <f>IF(34=Assumptions!$B$58,Assumptions!$B$57,0)</f>
        <v/>
      </c>
      <c r="AJ4" s="5">
        <f>IF(35=Assumptions!$B$58,Assumptions!$B$57,0)</f>
        <v/>
      </c>
      <c r="AK4" s="5">
        <f>IF(36=Assumptions!$B$58,Assumptions!$B$57,0)</f>
        <v/>
      </c>
    </row>
    <row r="5">
      <c r="A5" s="4" t="inlineStr">
        <is>
          <t>Closing cash</t>
        </is>
      </c>
      <c r="B5" s="16">
        <f>B2+B3+B4</f>
        <v/>
      </c>
      <c r="C5" s="16">
        <f>C2+C3+C4</f>
        <v/>
      </c>
      <c r="D5" s="16">
        <f>D2+D3+D4</f>
        <v/>
      </c>
      <c r="E5" s="16">
        <f>E2+E3+E4</f>
        <v/>
      </c>
      <c r="F5" s="16">
        <f>F2+F3+F4</f>
        <v/>
      </c>
      <c r="G5" s="16">
        <f>G2+G3+G4</f>
        <v/>
      </c>
      <c r="H5" s="16">
        <f>H2+H3+H4</f>
        <v/>
      </c>
      <c r="I5" s="16">
        <f>I2+I3+I4</f>
        <v/>
      </c>
      <c r="J5" s="16">
        <f>J2+J3+J4</f>
        <v/>
      </c>
      <c r="K5" s="16">
        <f>K2+K3+K4</f>
        <v/>
      </c>
      <c r="L5" s="16">
        <f>L2+L3+L4</f>
        <v/>
      </c>
      <c r="M5" s="16">
        <f>M2+M3+M4</f>
        <v/>
      </c>
      <c r="N5" s="16">
        <f>N2+N3+N4</f>
        <v/>
      </c>
      <c r="O5" s="16">
        <f>O2+O3+O4</f>
        <v/>
      </c>
      <c r="P5" s="16">
        <f>P2+P3+P4</f>
        <v/>
      </c>
      <c r="Q5" s="16">
        <f>Q2+Q3+Q4</f>
        <v/>
      </c>
      <c r="R5" s="16">
        <f>R2+R3+R4</f>
        <v/>
      </c>
      <c r="S5" s="16">
        <f>S2+S3+S4</f>
        <v/>
      </c>
      <c r="T5" s="16">
        <f>T2+T3+T4</f>
        <v/>
      </c>
      <c r="U5" s="16">
        <f>U2+U3+U4</f>
        <v/>
      </c>
      <c r="V5" s="16">
        <f>V2+V3+V4</f>
        <v/>
      </c>
      <c r="W5" s="16">
        <f>W2+W3+W4</f>
        <v/>
      </c>
      <c r="X5" s="16">
        <f>X2+X3+X4</f>
        <v/>
      </c>
      <c r="Y5" s="16">
        <f>Y2+Y3+Y4</f>
        <v/>
      </c>
      <c r="Z5" s="16">
        <f>Z2+Z3+Z4</f>
        <v/>
      </c>
      <c r="AA5" s="16">
        <f>AA2+AA3+AA4</f>
        <v/>
      </c>
      <c r="AB5" s="16">
        <f>AB2+AB3+AB4</f>
        <v/>
      </c>
      <c r="AC5" s="16">
        <f>AC2+AC3+AC4</f>
        <v/>
      </c>
      <c r="AD5" s="16">
        <f>AD2+AD3+AD4</f>
        <v/>
      </c>
      <c r="AE5" s="16">
        <f>AE2+AE3+AE4</f>
        <v/>
      </c>
      <c r="AF5" s="16">
        <f>AF2+AF3+AF4</f>
        <v/>
      </c>
      <c r="AG5" s="16">
        <f>AG2+AG3+AG4</f>
        <v/>
      </c>
      <c r="AH5" s="16">
        <f>AH2+AH3+AH4</f>
        <v/>
      </c>
      <c r="AI5" s="16">
        <f>AI2+AI3+AI4</f>
        <v/>
      </c>
      <c r="AJ5" s="16">
        <f>AJ2+AJ3+AJ4</f>
        <v/>
      </c>
      <c r="AK5" s="16">
        <f>AK2+AK3+AK4</f>
        <v/>
      </c>
    </row>
    <row r="6">
      <c r="A6" s="6" t="inlineStr">
        <is>
          <t>Runway (months at current burn)</t>
        </is>
      </c>
      <c r="B6">
        <f>IF(B3&gt;=0,"∞",ROUND(B5/-B3,1))</f>
        <v/>
      </c>
      <c r="C6">
        <f>IF(C3&gt;=0,"∞",ROUND(C5/-C3,1))</f>
        <v/>
      </c>
      <c r="D6">
        <f>IF(D3&gt;=0,"∞",ROUND(D5/-D3,1))</f>
        <v/>
      </c>
      <c r="E6">
        <f>IF(E3&gt;=0,"∞",ROUND(E5/-E3,1))</f>
        <v/>
      </c>
      <c r="F6">
        <f>IF(F3&gt;=0,"∞",ROUND(F5/-F3,1))</f>
        <v/>
      </c>
      <c r="G6">
        <f>IF(G3&gt;=0,"∞",ROUND(G5/-G3,1))</f>
        <v/>
      </c>
      <c r="H6">
        <f>IF(H3&gt;=0,"∞",ROUND(H5/-H3,1))</f>
        <v/>
      </c>
      <c r="I6">
        <f>IF(I3&gt;=0,"∞",ROUND(I5/-I3,1))</f>
        <v/>
      </c>
      <c r="J6">
        <f>IF(J3&gt;=0,"∞",ROUND(J5/-J3,1))</f>
        <v/>
      </c>
      <c r="K6">
        <f>IF(K3&gt;=0,"∞",ROUND(K5/-K3,1))</f>
        <v/>
      </c>
      <c r="L6">
        <f>IF(L3&gt;=0,"∞",ROUND(L5/-L3,1))</f>
        <v/>
      </c>
      <c r="M6">
        <f>IF(M3&gt;=0,"∞",ROUND(M5/-M3,1))</f>
        <v/>
      </c>
      <c r="N6">
        <f>IF(N3&gt;=0,"∞",ROUND(N5/-N3,1))</f>
        <v/>
      </c>
      <c r="O6">
        <f>IF(O3&gt;=0,"∞",ROUND(O5/-O3,1))</f>
        <v/>
      </c>
      <c r="P6">
        <f>IF(P3&gt;=0,"∞",ROUND(P5/-P3,1))</f>
        <v/>
      </c>
      <c r="Q6">
        <f>IF(Q3&gt;=0,"∞",ROUND(Q5/-Q3,1))</f>
        <v/>
      </c>
      <c r="R6">
        <f>IF(R3&gt;=0,"∞",ROUND(R5/-R3,1))</f>
        <v/>
      </c>
      <c r="S6">
        <f>IF(S3&gt;=0,"∞",ROUND(S5/-S3,1))</f>
        <v/>
      </c>
      <c r="T6">
        <f>IF(T3&gt;=0,"∞",ROUND(T5/-T3,1))</f>
        <v/>
      </c>
      <c r="U6">
        <f>IF(U3&gt;=0,"∞",ROUND(U5/-U3,1))</f>
        <v/>
      </c>
      <c r="V6">
        <f>IF(V3&gt;=0,"∞",ROUND(V5/-V3,1))</f>
        <v/>
      </c>
      <c r="W6">
        <f>IF(W3&gt;=0,"∞",ROUND(W5/-W3,1))</f>
        <v/>
      </c>
      <c r="X6">
        <f>IF(X3&gt;=0,"∞",ROUND(X5/-X3,1))</f>
        <v/>
      </c>
      <c r="Y6">
        <f>IF(Y3&gt;=0,"∞",ROUND(Y5/-Y3,1))</f>
        <v/>
      </c>
      <c r="Z6">
        <f>IF(Z3&gt;=0,"∞",ROUND(Z5/-Z3,1))</f>
        <v/>
      </c>
      <c r="AA6">
        <f>IF(AA3&gt;=0,"∞",ROUND(AA5/-AA3,1))</f>
        <v/>
      </c>
      <c r="AB6">
        <f>IF(AB3&gt;=0,"∞",ROUND(AB5/-AB3,1))</f>
        <v/>
      </c>
      <c r="AC6">
        <f>IF(AC3&gt;=0,"∞",ROUND(AC5/-AC3,1))</f>
        <v/>
      </c>
      <c r="AD6">
        <f>IF(AD3&gt;=0,"∞",ROUND(AD5/-AD3,1))</f>
        <v/>
      </c>
      <c r="AE6">
        <f>IF(AE3&gt;=0,"∞",ROUND(AE5/-AE3,1))</f>
        <v/>
      </c>
      <c r="AF6">
        <f>IF(AF3&gt;=0,"∞",ROUND(AF5/-AF3,1))</f>
        <v/>
      </c>
      <c r="AG6">
        <f>IF(AG3&gt;=0,"∞",ROUND(AG5/-AG3,1))</f>
        <v/>
      </c>
      <c r="AH6">
        <f>IF(AH3&gt;=0,"∞",ROUND(AH5/-AH3,1))</f>
        <v/>
      </c>
      <c r="AI6">
        <f>IF(AI3&gt;=0,"∞",ROUND(AI5/-AI3,1))</f>
        <v/>
      </c>
      <c r="AJ6">
        <f>IF(AJ3&gt;=0,"∞",ROUND(AJ5/-AJ3,1))</f>
        <v/>
      </c>
      <c r="AK6">
        <f>IF(AK3&gt;=0,"∞",ROUND(AK5/-AK3,1))</f>
        <v/>
      </c>
    </row>
    <row r="8">
      <c r="A8" t="inlineStr">
        <is>
          <t>Minimum cash balance (36m)</t>
        </is>
      </c>
      <c r="B8" s="16">
        <f>MIN(B5:AK5)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0" t="inlineStr">
        <is>
          <t>Per-plan unit economics (monthly, SAR)</t>
        </is>
      </c>
    </row>
    <row r="3">
      <c r="A3" s="3" t="inlineStr"/>
      <c r="B3" s="3" t="inlineStr">
        <is>
          <t>Starter</t>
        </is>
      </c>
      <c r="C3" s="3" t="inlineStr">
        <is>
          <t>Pro</t>
        </is>
      </c>
      <c r="D3" s="3" t="inlineStr">
        <is>
          <t>Agency</t>
        </is>
      </c>
      <c r="E3" s="3" t="inlineStr">
        <is>
          <t>Enterprise</t>
        </is>
      </c>
    </row>
    <row r="4">
      <c r="A4" s="6" t="inlineStr">
        <is>
          <t>Price (ex-VAT, blended for annual mix)</t>
        </is>
      </c>
      <c r="B4" s="5">
        <f>Assumptions!$B$6*(1-Assumptions!$B$11*Assumptions!$B$10)</f>
        <v/>
      </c>
      <c r="C4" s="5">
        <f>Assumptions!$B$7*(1-Assumptions!$B$11*Assumptions!$B$10)</f>
        <v/>
      </c>
      <c r="D4" s="5">
        <f>Assumptions!$B$8*(1-Assumptions!$B$11*Assumptions!$B$10)</f>
        <v/>
      </c>
      <c r="E4" s="5">
        <f>Assumptions!$B$9</f>
        <v/>
      </c>
    </row>
    <row r="5">
      <c r="A5" s="6" t="inlineStr">
        <is>
          <t>+ Top-ups / seats</t>
        </is>
      </c>
      <c r="B5" s="5">
        <f>B4*Assumptions!$B$12</f>
        <v/>
      </c>
      <c r="C5" s="5">
        <f>C4*Assumptions!$B$12</f>
        <v/>
      </c>
      <c r="D5" s="5">
        <f>D4*Assumptions!$B$12</f>
        <v/>
      </c>
      <c r="E5" s="5">
        <f>E4*Assumptions!$B$12</f>
        <v/>
      </c>
    </row>
    <row r="6">
      <c r="A6" s="4" t="inlineStr">
        <is>
          <t>Revenue per brand</t>
        </is>
      </c>
      <c r="B6" s="5">
        <f>B4+B5</f>
        <v/>
      </c>
      <c r="C6" s="5">
        <f>C4+C5</f>
        <v/>
      </c>
      <c r="D6" s="5">
        <f>D4+D5</f>
        <v/>
      </c>
      <c r="E6" s="5">
        <f>E4+E5</f>
        <v/>
      </c>
    </row>
    <row r="7">
      <c r="A7" s="6" t="inlineStr">
        <is>
          <t>AI model + media</t>
        </is>
      </c>
      <c r="B7" s="5">
        <f>Assumptions!$B$30</f>
        <v/>
      </c>
      <c r="C7" s="5">
        <f>Assumptions!$B$31</f>
        <v/>
      </c>
      <c r="D7" s="5">
        <f>Assumptions!$B$32</f>
        <v/>
      </c>
      <c r="E7" s="5">
        <f>Assumptions!$B$33</f>
        <v/>
      </c>
    </row>
    <row r="8">
      <c r="A8" s="6" t="inlineStr">
        <is>
          <t>Infra + messaging + support</t>
        </is>
      </c>
      <c r="B8" s="5">
        <f>Assumptions!$B$34+Assumptions!$B$35+Assumptions!$B$37</f>
        <v/>
      </c>
      <c r="C8" s="5">
        <f>Assumptions!$B$34+Assumptions!$B$35+Assumptions!$B$37</f>
        <v/>
      </c>
      <c r="D8" s="5">
        <f>Assumptions!$B$34+Assumptions!$B$35+Assumptions!$B$37</f>
        <v/>
      </c>
      <c r="E8" s="5">
        <f>Assumptions!$B$34+Assumptions!$B$35+Assumptions!$B$37</f>
        <v/>
      </c>
    </row>
    <row r="9">
      <c r="A9" s="6" t="inlineStr">
        <is>
          <t>Payment fees</t>
        </is>
      </c>
      <c r="B9" s="5">
        <f>B6*Assumptions!$B$36</f>
        <v/>
      </c>
      <c r="C9" s="5">
        <f>C6*Assumptions!$B$36</f>
        <v/>
      </c>
      <c r="D9" s="5">
        <f>D6*Assumptions!$B$36</f>
        <v/>
      </c>
      <c r="E9" s="5">
        <f>E6*Assumptions!$B$36</f>
        <v/>
      </c>
    </row>
    <row r="10">
      <c r="A10" s="4" t="inlineStr">
        <is>
          <t>Gross profit per brand</t>
        </is>
      </c>
      <c r="B10" s="5">
        <f>B6-B7-B8-B9</f>
        <v/>
      </c>
      <c r="C10" s="5">
        <f>C6-C7-C8-C9</f>
        <v/>
      </c>
      <c r="D10" s="5">
        <f>D6-D7-D8-D9</f>
        <v/>
      </c>
      <c r="E10" s="5">
        <f>E6-E7-E8-E9</f>
        <v/>
      </c>
    </row>
    <row r="11">
      <c r="A11" s="6" t="inlineStr">
        <is>
          <t>Gross margin %</t>
        </is>
      </c>
      <c r="B11" s="7">
        <f>B10/B6</f>
        <v/>
      </c>
      <c r="C11" s="7">
        <f>C10/C6</f>
        <v/>
      </c>
      <c r="D11" s="7">
        <f>D10/D6</f>
        <v/>
      </c>
      <c r="E11" s="7">
        <f>E10/E6</f>
        <v/>
      </c>
    </row>
    <row r="12">
      <c r="A12" s="6" t="inlineStr">
        <is>
          <t>Expected lifetime (months) = 1/churn</t>
        </is>
      </c>
      <c r="B12" s="9">
        <f>1/Assumptions!$B$26</f>
        <v/>
      </c>
      <c r="C12" s="9">
        <f>1/Assumptions!$B$26</f>
        <v/>
      </c>
      <c r="D12" s="9">
        <f>1/Assumptions!$B$26</f>
        <v/>
      </c>
      <c r="E12" s="9">
        <f>1/Assumptions!$B$26</f>
        <v/>
      </c>
    </row>
    <row r="13">
      <c r="A13" s="4" t="inlineStr">
        <is>
          <t>LTV (gross profit × lifetime)</t>
        </is>
      </c>
      <c r="B13" s="9">
        <f>B10*B12</f>
        <v/>
      </c>
      <c r="C13" s="9">
        <f>C10*C12</f>
        <v/>
      </c>
      <c r="D13" s="9">
        <f>D10*D12</f>
        <v/>
      </c>
      <c r="E13" s="9">
        <f>E10*E12</f>
        <v/>
      </c>
    </row>
    <row r="14">
      <c r="A14" s="6" t="inlineStr">
        <is>
          <t>CAC</t>
        </is>
      </c>
      <c r="B14" s="5">
        <f>Assumptions!$B$27</f>
        <v/>
      </c>
      <c r="C14" s="5">
        <f>Assumptions!$B$27</f>
        <v/>
      </c>
      <c r="D14" s="5">
        <f>Assumptions!$B$27</f>
        <v/>
      </c>
      <c r="E14" s="5">
        <f>Assumptions!$B$27</f>
        <v/>
      </c>
    </row>
    <row r="15">
      <c r="A15" s="4" t="inlineStr">
        <is>
          <t>LTV : CAC</t>
        </is>
      </c>
      <c r="B15" s="9">
        <f>B13/B14</f>
        <v/>
      </c>
      <c r="C15" s="9">
        <f>C13/C14</f>
        <v/>
      </c>
      <c r="D15" s="9">
        <f>D13/D14</f>
        <v/>
      </c>
      <c r="E15" s="9">
        <f>E13/E14</f>
        <v/>
      </c>
    </row>
    <row r="16">
      <c r="A16" s="4" t="inlineStr">
        <is>
          <t>CAC payback (months)</t>
        </is>
      </c>
      <c r="B16" s="9">
        <f>B14/B10</f>
        <v/>
      </c>
      <c r="C16" s="9">
        <f>C14/C10</f>
        <v/>
      </c>
      <c r="D16" s="9">
        <f>D14/D10</f>
        <v/>
      </c>
      <c r="E16" s="9">
        <f>E14/E10</f>
        <v/>
      </c>
    </row>
    <row r="20">
      <c r="A20" s="10" t="inlineStr">
        <is>
          <t>Blended (weighted by plan mix)</t>
        </is>
      </c>
    </row>
    <row r="21">
      <c r="A21" t="inlineStr">
        <is>
          <t>Blended revenue per brand</t>
        </is>
      </c>
      <c r="B21" s="16">
        <f>B6*Assumptions!$B$15+C6*Assumptions!$B$16+D6*Assumptions!$B$17+E6*Assumptions!$B$18</f>
        <v/>
      </c>
    </row>
    <row r="22">
      <c r="A22" t="inlineStr">
        <is>
          <t>Blended gross profit per brand</t>
        </is>
      </c>
      <c r="B22" s="16">
        <f>B10*Assumptions!$B$15+C10*Assumptions!$B$16+D10*Assumptions!$B$17+E10*Assumptions!$B$18</f>
        <v/>
      </c>
    </row>
    <row r="23">
      <c r="A23" t="inlineStr">
        <is>
          <t>Blended gross margin</t>
        </is>
      </c>
      <c r="B23" s="21">
        <f>B22/B21</f>
        <v/>
      </c>
    </row>
    <row r="24">
      <c r="A24" t="inlineStr">
        <is>
          <t>Blended LTV</t>
        </is>
      </c>
      <c r="B24" s="16">
        <f>B13*Assumptions!$B$15+C13*Assumptions!$B$16+D13*Assumptions!$B$17+E13*Assumptions!$B$18</f>
        <v/>
      </c>
    </row>
    <row r="25">
      <c r="A25" t="inlineStr">
        <is>
          <t>Blended LTV:CAC</t>
        </is>
      </c>
      <c r="B25" s="22">
        <f>B24/Assumptions!$B$27</f>
        <v/>
      </c>
    </row>
    <row r="26">
      <c r="A26" t="inlineStr">
        <is>
          <t>Blended CAC payback (months)</t>
        </is>
      </c>
      <c r="B26" s="22">
        <f>Assumptions!$B$27/B22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2026-09-17T08:39:12Z</dcterms:created>
  <dcterms:modified xmlns:dcterms="http://purl.org/dc/terms/" xmlns:xsi="http://www.w3.org/2001/XMLSchema-instance" xsi:type="dcterms:W3CDTF">2026-09-17T08:39:12Z</dcterms:modified>
</cp:coreProperties>
</file>